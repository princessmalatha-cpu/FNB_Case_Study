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 sheetId="1" r:id="rId4"/>
    <sheet state="visible" name="Pivot Table 4" sheetId="2" r:id="rId5"/>
    <sheet state="visible" name="Pivot Table 3" sheetId="3" r:id="rId6"/>
    <sheet state="visible" name="Pivot Table 1" sheetId="4" r:id="rId7"/>
    <sheet state="visible" name="Copy of Pivot Table 1" sheetId="5" r:id="rId8"/>
  </sheets>
  <definedNames>
    <definedName hidden="1" localSheetId="0" name="Z_10F2B413_E0BA_4820_BBC3_171E5C98CB51_.wvu.FilterData">result!$A$1:$K$1054</definedName>
    <definedName name="SlicerCache_Table_1_Col_2">#N/A</definedName>
  </definedNames>
  <calcPr/>
  <customWorkbookViews>
    <customWorkbookView activeSheetId="0" maximized="1" windowHeight="0" windowWidth="0" guid="{10F2B413-E0BA-4820-BBC3-171E5C98CB51}" name="Filter 1"/>
  </customWorkbookViews>
  <pivotCaches>
    <pivotCache cacheId="0" r:id="rId9"/>
  </pivotCaches>
  <extLst>
    <ext uri="GoogleSheetsCustomDataVersion2">
      <go:sheetsCustomData xmlns:go="http://customooxmlschemas.google.com/" r:id="rId11" roundtripDataChecksum="h6CP55F5Gb/uhwOUAHSEYFk4TPjl9zR353m5jOpNC+E="/>
    </ext>
    <ext uri="{46BE6895-7355-4a93-B00E-2C351335B9C9}">
      <x15:slicerCaches>
        <x14:slicerCache r:id="rId10"/>
      </x15:slicerCaches>
    </ext>
  </extLst>
</workbook>
</file>

<file path=xl/sharedStrings.xml><?xml version="1.0" encoding="utf-8"?>
<sst xmlns="http://schemas.openxmlformats.org/spreadsheetml/2006/main" count="1093" uniqueCount="37">
  <si>
    <t>Clean_Date</t>
  </si>
  <si>
    <t>Year</t>
  </si>
  <si>
    <t>Month</t>
  </si>
  <si>
    <t>Month_Name</t>
  </si>
  <si>
    <t>Sales</t>
  </si>
  <si>
    <t>Cost Of Sales</t>
  </si>
  <si>
    <t>Quantity Sold</t>
  </si>
  <si>
    <t>daily_sales_price_per_unit</t>
  </si>
  <si>
    <t>daily_cost_price_per_unit</t>
  </si>
  <si>
    <t>gross_profit_per_unit</t>
  </si>
  <si>
    <t>Margin %</t>
  </si>
  <si>
    <t>Profit</t>
  </si>
  <si>
    <t>Sales_Status</t>
  </si>
  <si>
    <t>AVG Selling Price</t>
  </si>
  <si>
    <t>AVG Cost Price</t>
  </si>
  <si>
    <t>Overall Margin</t>
  </si>
  <si>
    <t>December</t>
  </si>
  <si>
    <t>January</t>
  </si>
  <si>
    <t>February</t>
  </si>
  <si>
    <t>March</t>
  </si>
  <si>
    <t>April</t>
  </si>
  <si>
    <t>May</t>
  </si>
  <si>
    <t>June</t>
  </si>
  <si>
    <t>July</t>
  </si>
  <si>
    <t>August</t>
  </si>
  <si>
    <t>September</t>
  </si>
  <si>
    <t>October</t>
  </si>
  <si>
    <t>November</t>
  </si>
  <si>
    <t>SUM of Sales</t>
  </si>
  <si>
    <t>SUM of Profit</t>
  </si>
  <si>
    <t>ON SALE</t>
  </si>
  <si>
    <t>Regular</t>
  </si>
  <si>
    <t>SUM of Margin %</t>
  </si>
  <si>
    <t>Grand Total</t>
  </si>
  <si>
    <t>AVERAGE of Sales</t>
  </si>
  <si>
    <t>AVERAGE of Quantity Sold</t>
  </si>
  <si>
    <t>FNB SALES ANALYSIS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</si>
</sst>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9">
    <font>
      <sz val="12.0"/>
      <color theme="1"/>
      <name val="Calibri"/>
      <scheme val="minor"/>
    </font>
    <font>
      <color theme="1"/>
      <name val="Calibri"/>
      <scheme val="minor"/>
    </font>
    <font>
      <sz val="12.0"/>
      <color theme="1"/>
      <name val="Calibri"/>
    </font>
    <font>
      <sz val="17.0"/>
      <color theme="1"/>
      <name val="Calibri"/>
      <scheme val="minor"/>
    </font>
    <font>
      <color theme="0"/>
      <name val="Calibri"/>
      <scheme val="minor"/>
    </font>
    <font>
      <b/>
      <sz val="34.0"/>
      <color rgb="FF000000"/>
      <name val="Calibri"/>
      <scheme val="minor"/>
    </font>
    <font>
      <b/>
      <sz val="40.0"/>
      <color rgb="FF000000"/>
      <name val="Calibri"/>
      <scheme val="minor"/>
    </font>
    <font>
      <sz val="40.0"/>
      <color theme="0"/>
      <name val="Calibri"/>
      <scheme val="minor"/>
    </font>
    <font>
      <b/>
      <sz val="36.0"/>
      <color rgb="FF000000"/>
      <name val="Calibri"/>
      <scheme val="minor"/>
    </font>
  </fonts>
  <fills count="3">
    <fill>
      <patternFill patternType="none"/>
    </fill>
    <fill>
      <patternFill patternType="lightGray"/>
    </fill>
    <fill>
      <patternFill patternType="solid">
        <fgColor rgb="FFE6F7FF"/>
        <bgColor rgb="FFE6F7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64" xfId="0" applyFont="1" applyNumberFormat="1"/>
    <xf borderId="0" fillId="0" fontId="1" numFmtId="10" xfId="0" applyFont="1" applyNumberFormat="1"/>
    <xf borderId="0" fillId="0" fontId="1" numFmtId="1" xfId="0" applyFont="1" applyNumberFormat="1"/>
    <xf borderId="0" fillId="0" fontId="3" numFmtId="0" xfId="0" applyFont="1"/>
    <xf borderId="0" fillId="0" fontId="4" numFmtId="0" xfId="0" applyFont="1"/>
    <xf borderId="0" fillId="2" fontId="5" numFmtId="0" xfId="0" applyFill="1" applyFont="1"/>
    <xf borderId="0" fillId="2" fontId="6" numFmtId="0" xfId="0" applyFill="1" applyFont="1"/>
    <xf borderId="0" fillId="2" fontId="7" numFmtId="0" xfId="0" applyFill="1" applyFont="1"/>
    <xf borderId="0" fillId="2" fontId="4" numFmtId="0" xfId="0" applyFill="1" applyFont="1"/>
    <xf borderId="0" fillId="2" fontId="8" numFmtId="0" xfId="0" applyAlignment="1" applyFill="1" applyFont="1">
      <alignment horizontal="center" readingOrder="0"/>
    </xf>
    <xf borderId="0" fillId="0" fontId="5" numFmtId="0" xfId="0" applyAlignment="1" applyFont="1">
      <alignment horizontal="center"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and SUM of Profit</a:t>
            </a:r>
          </a:p>
        </c:rich>
      </c:tx>
      <c:overlay val="0"/>
    </c:title>
    <c:plotArea>
      <c:layout/>
      <c:barChart>
        <c:barDir val="col"/>
        <c:ser>
          <c:idx val="0"/>
          <c:order val="0"/>
          <c:tx>
            <c:strRef>
              <c:f>'Pivot Table 4'!$B$1</c:f>
            </c:strRef>
          </c:tx>
          <c:spPr>
            <a:solidFill>
              <a:schemeClr val="accent1"/>
            </a:solidFill>
            <a:ln cmpd="sng">
              <a:noFill/>
            </a:ln>
          </c:spPr>
          <c:invertIfNegative val="0"/>
          <c:cat>
            <c:strRef>
              <c:f>'Pivot Table 4'!$A$2:$A$4</c:f>
            </c:strRef>
          </c:cat>
          <c:val>
            <c:numRef>
              <c:f>'Pivot Table 4'!$B$2:$B$4</c:f>
              <c:numCache/>
            </c:numRef>
          </c:val>
        </c:ser>
        <c:ser>
          <c:idx val="1"/>
          <c:order val="1"/>
          <c:tx>
            <c:strRef>
              <c:f>'Pivot Table 4'!$C$1</c:f>
            </c:strRef>
          </c:tx>
          <c:spPr>
            <a:solidFill>
              <a:schemeClr val="accent2"/>
            </a:solidFill>
            <a:ln cmpd="sng">
              <a:noFill/>
            </a:ln>
          </c:spPr>
          <c:invertIfNegative val="0"/>
          <c:cat>
            <c:strRef>
              <c:f>'Pivot Table 4'!$A$2:$A$4</c:f>
            </c:strRef>
          </c:cat>
          <c:val>
            <c:numRef>
              <c:f>'Pivot Table 4'!$C$2:$C$4</c:f>
              <c:numCache/>
            </c:numRef>
          </c:val>
        </c:ser>
        <c:axId val="593615229"/>
        <c:axId val="1649846566"/>
      </c:barChart>
      <c:catAx>
        <c:axId val="5936152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Sales_Status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49846566"/>
      </c:catAx>
      <c:valAx>
        <c:axId val="16498465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9361522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and SUM of Profit</a:t>
            </a:r>
          </a:p>
        </c:rich>
      </c:tx>
      <c:overlay val="0"/>
    </c:title>
    <c:plotArea>
      <c:layout/>
      <c:barChart>
        <c:barDir val="col"/>
        <c:ser>
          <c:idx val="0"/>
          <c:order val="0"/>
          <c:tx>
            <c:strRef>
              <c:f>'Pivot Table 4'!$B$1</c:f>
            </c:strRef>
          </c:tx>
          <c:spPr>
            <a:solidFill>
              <a:schemeClr val="accent1"/>
            </a:solidFill>
            <a:ln cmpd="sng">
              <a:noFill/>
            </a:ln>
          </c:spPr>
          <c:invertIfNegative val="0"/>
          <c:cat>
            <c:strRef>
              <c:f>'Pivot Table 4'!$A$2:$A$3</c:f>
            </c:strRef>
          </c:cat>
          <c:val>
            <c:numRef>
              <c:f>'Pivot Table 4'!$B$2:$B$3</c:f>
              <c:numCache/>
            </c:numRef>
          </c:val>
        </c:ser>
        <c:ser>
          <c:idx val="1"/>
          <c:order val="1"/>
          <c:tx>
            <c:strRef>
              <c:f>'Pivot Table 4'!$C$1</c:f>
            </c:strRef>
          </c:tx>
          <c:spPr>
            <a:solidFill>
              <a:schemeClr val="accent2"/>
            </a:solidFill>
            <a:ln cmpd="sng">
              <a:noFill/>
            </a:ln>
          </c:spPr>
          <c:invertIfNegative val="0"/>
          <c:cat>
            <c:strRef>
              <c:f>'Pivot Table 4'!$A$2:$A$3</c:f>
            </c:strRef>
          </c:cat>
          <c:val>
            <c:numRef>
              <c:f>'Pivot Table 4'!$C$2:$C$3</c:f>
              <c:numCache/>
            </c:numRef>
          </c:val>
        </c:ser>
        <c:axId val="1415776747"/>
        <c:axId val="1879153154"/>
      </c:barChart>
      <c:catAx>
        <c:axId val="14157767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Sales_Status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79153154"/>
      </c:catAx>
      <c:valAx>
        <c:axId val="18791531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1577674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Revenue/Day:ON SALE vs Regular</a:t>
            </a:r>
          </a:p>
        </c:rich>
      </c:tx>
      <c:overlay val="0"/>
    </c:title>
    <c:plotArea>
      <c:layout/>
      <c:barChart>
        <c:barDir val="col"/>
        <c:varyColors val="0"/>
        <c:ser>
          <c:idx val="0"/>
          <c:order val="0"/>
          <c:tx>
            <c:strRef>
              <c:f>'Pivot Table 3'!$B$1</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'Pivot Table 3'!$A$2:$A$4</c:f>
            </c:strRef>
          </c:cat>
          <c:val>
            <c:numRef>
              <c:f>'Pivot Table 3'!$B$2:$B$4</c:f>
              <c:numCache/>
            </c:numRef>
          </c:val>
        </c:ser>
        <c:axId val="189962000"/>
        <c:axId val="141676944"/>
      </c:barChart>
      <c:catAx>
        <c:axId val="189962000"/>
        <c:scaling>
          <c:orientation val="minMax"/>
        </c:scaling>
        <c:delete val="0"/>
        <c:axPos val="b"/>
        <c:title>
          <c:tx>
            <c:rich>
              <a:bodyPr/>
              <a:lstStyle/>
              <a:p>
                <a:pPr lvl="0">
                  <a:defRPr b="0" sz="1800">
                    <a:solidFill>
                      <a:srgbClr val="000000"/>
                    </a:solidFill>
                    <a:latin typeface="+mn-lt"/>
                  </a:defRPr>
                </a:pPr>
                <a:r>
                  <a:rPr b="0" sz="1800">
                    <a:solidFill>
                      <a:srgbClr val="000000"/>
                    </a:solidFill>
                    <a:latin typeface="+mn-lt"/>
                  </a:rPr>
                  <a:t>Sales Type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1676944"/>
      </c:catAx>
      <c:valAx>
        <c:axId val="1416769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mn-lt"/>
                  </a:defRPr>
                </a:pPr>
                <a:r>
                  <a:rPr b="0" sz="1600">
                    <a:solidFill>
                      <a:srgbClr val="000000"/>
                    </a:solidFill>
                    <a:latin typeface="+mn-lt"/>
                  </a:rPr>
                  <a:t>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996200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Units/Day: ON SALE vs Regular</a:t>
            </a:r>
          </a:p>
        </c:rich>
      </c:tx>
      <c:overlay val="0"/>
    </c:title>
    <c:plotArea>
      <c:layout/>
      <c:barChart>
        <c:barDir val="col"/>
        <c:varyColors val="0"/>
        <c:ser>
          <c:idx val="0"/>
          <c:order val="0"/>
          <c:tx>
            <c:strRef>
              <c:f>'Pivot Table 3'!$B$9</c:f>
            </c:strRef>
          </c:tx>
          <c:spPr>
            <a:solidFill>
              <a:schemeClr val="accent1"/>
            </a:solidFill>
            <a:ln cmpd="sng">
              <a:noFill/>
            </a:ln>
          </c:spPr>
          <c:invertIfNegative val="0"/>
          <c:dPt>
            <c:idx val="1"/>
          </c:dPt>
          <c:dLbls>
            <c:numFmt formatCode="General" sourceLinked="1"/>
            <c:txPr>
              <a:bodyPr/>
              <a:lstStyle/>
              <a:p>
                <a:pPr lvl="0">
                  <a:defRPr/>
                </a:pPr>
              </a:p>
            </c:txPr>
            <c:showLegendKey val="0"/>
            <c:showVal val="1"/>
            <c:showCatName val="0"/>
            <c:showSerName val="0"/>
            <c:showPercent val="0"/>
            <c:showBubbleSize val="0"/>
          </c:dLbls>
          <c:cat>
            <c:strRef>
              <c:f>'Pivot Table 3'!$A$10:$A$12</c:f>
            </c:strRef>
          </c:cat>
          <c:val>
            <c:numRef>
              <c:f>'Pivot Table 3'!$B$10:$B$12</c:f>
              <c:numCache/>
            </c:numRef>
          </c:val>
        </c:ser>
        <c:axId val="2079489086"/>
        <c:axId val="1204465824"/>
      </c:barChart>
      <c:catAx>
        <c:axId val="2079489086"/>
        <c:scaling>
          <c:orientation val="minMax"/>
        </c:scaling>
        <c:delete val="0"/>
        <c:axPos val="b"/>
        <c:title>
          <c:tx>
            <c:rich>
              <a:bodyPr/>
              <a:lstStyle/>
              <a:p>
                <a:pPr lvl="0">
                  <a:defRPr b="0" sz="1600">
                    <a:solidFill>
                      <a:srgbClr val="000000"/>
                    </a:solidFill>
                    <a:latin typeface="+mn-lt"/>
                  </a:defRPr>
                </a:pPr>
                <a:r>
                  <a:rPr b="0" sz="1600">
                    <a:solidFill>
                      <a:srgbClr val="000000"/>
                    </a:solidFill>
                    <a:latin typeface="+mn-lt"/>
                  </a:rPr>
                  <a:t>Sales Type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04465824"/>
      </c:catAx>
      <c:valAx>
        <c:axId val="12044658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mn-lt"/>
                  </a:defRPr>
                </a:pPr>
                <a:r>
                  <a:rPr b="0" sz="1600">
                    <a:solidFill>
                      <a:srgbClr val="000000"/>
                    </a:solidFill>
                    <a:latin typeface="+mn-lt"/>
                  </a:rPr>
                  <a:t>Unit Sold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7948908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Daily Sales vs Cost Price per Unit</a:t>
            </a:r>
          </a:p>
        </c:rich>
      </c:tx>
      <c:layout>
        <c:manualLayout>
          <c:xMode val="edge"/>
          <c:yMode val="edge"/>
          <c:x val="0.025288990345762746"/>
          <c:y val="0.044850178966062186"/>
        </c:manualLayout>
      </c:layout>
      <c:overlay val="0"/>
    </c:title>
    <c:plotArea>
      <c:layout>
        <c:manualLayout>
          <c:xMode val="edge"/>
          <c:yMode val="edge"/>
          <c:x val="0.06218850806451611"/>
          <c:y val="0.1376130828114127"/>
          <c:w val="0.7603921370967741"/>
          <c:h val="0.8476239066455882"/>
        </c:manualLayout>
      </c:layout>
      <c:lineChart>
        <c:ser>
          <c:idx val="0"/>
          <c:order val="0"/>
          <c:tx>
            <c:v>daily sales price per unit</c:v>
          </c:tx>
          <c:spPr>
            <a:ln cmpd="sng">
              <a:solidFill>
                <a:srgbClr val="4F81BD"/>
              </a:solidFill>
            </a:ln>
          </c:spPr>
          <c:marker>
            <c:symbol val="none"/>
          </c:marker>
          <c:cat>
            <c:strRef>
              <c:f>result!$A$2:$A$1054</c:f>
            </c:strRef>
          </c:cat>
          <c:val>
            <c:numRef>
              <c:f>result!$H$2:$H$1054</c:f>
              <c:numCache/>
            </c:numRef>
          </c:val>
          <c:smooth val="0"/>
        </c:ser>
        <c:ser>
          <c:idx val="1"/>
          <c:order val="1"/>
          <c:tx>
            <c:v>daily cost price per unit</c:v>
          </c:tx>
          <c:spPr>
            <a:ln cmpd="sng">
              <a:solidFill>
                <a:srgbClr val="C0504D"/>
              </a:solidFill>
            </a:ln>
          </c:spPr>
          <c:marker>
            <c:symbol val="none"/>
          </c:marker>
          <c:cat>
            <c:strRef>
              <c:f>result!$A$2:$A$1054</c:f>
            </c:strRef>
          </c:cat>
          <c:val>
            <c:numRef>
              <c:f>result!$I$2:$I$1054</c:f>
              <c:numCache/>
            </c:numRef>
          </c:val>
          <c:smooth val="0"/>
        </c:ser>
        <c:axId val="2105062450"/>
        <c:axId val="1176497654"/>
      </c:lineChart>
      <c:catAx>
        <c:axId val="21050624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76497654"/>
      </c:catAx>
      <c:valAx>
        <c:axId val="117649765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05062450"/>
      </c:valAx>
    </c:plotArea>
    <c:legend>
      <c:legendPos val="r"/>
      <c:legendEntry>
        <c:idx val="0"/>
        <c:txPr>
          <a:bodyPr/>
          <a:lstStyle/>
          <a:p>
            <a:pPr lvl="0">
              <a:defRPr sz="1400"/>
            </a:pPr>
          </a:p>
        </c:txPr>
      </c:legendEntry>
      <c:legendEntry>
        <c:idx val="1"/>
        <c:txPr>
          <a:bodyPr/>
          <a:lstStyle/>
          <a:p>
            <a:pPr lvl="0">
              <a:defRPr sz="1400"/>
            </a:pPr>
          </a:p>
        </c:txPr>
      </c:legendEntry>
      <c:overlay val="0"/>
      <c:txPr>
        <a:bodyPr/>
        <a:lstStyle/>
        <a:p>
          <a:pPr lvl="0">
            <a:defRPr b="0">
              <a:solidFill>
                <a:srgbClr val="1A1A1A"/>
              </a:solidFill>
              <a:latin typeface="+mn-lt"/>
            </a:defRPr>
          </a:pPr>
        </a:p>
      </c:txPr>
    </c:legend>
    <c:plotVisOnly val="1"/>
  </c:chart>
  <c:spPr>
    <a:solidFill>
      <a:srgbClr val="E6F7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Daily Profit Per Unit</a:t>
            </a:r>
          </a:p>
        </c:rich>
      </c:tx>
      <c:overlay val="0"/>
    </c:title>
    <c:plotArea>
      <c:layout/>
      <c:lineChart>
        <c:varyColors val="0"/>
        <c:ser>
          <c:idx val="0"/>
          <c:order val="0"/>
          <c:tx>
            <c:strRef>
              <c:f>result!$J$1</c:f>
            </c:strRef>
          </c:tx>
          <c:spPr>
            <a:ln cmpd="sng">
              <a:solidFill>
                <a:srgbClr val="00A9A4">
                  <a:alpha val="100000"/>
                </a:srgbClr>
              </a:solidFill>
            </a:ln>
          </c:spPr>
          <c:marker>
            <c:symbol val="none"/>
          </c:marker>
          <c:cat>
            <c:strRef>
              <c:f>result!$A$2:$A$1054</c:f>
            </c:strRef>
          </c:cat>
          <c:val>
            <c:numRef>
              <c:f>result!$J$2:$J$1054</c:f>
              <c:numCache/>
            </c:numRef>
          </c:val>
          <c:smooth val="0"/>
        </c:ser>
        <c:axId val="1400458947"/>
        <c:axId val="1244534494"/>
      </c:lineChart>
      <c:catAx>
        <c:axId val="14004589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44534494"/>
      </c:catAx>
      <c:valAx>
        <c:axId val="12445344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00458947"/>
      </c:valAx>
    </c:plotArea>
    <c:legend>
      <c:legendPos val="r"/>
      <c:overlay val="0"/>
      <c:txPr>
        <a:bodyPr/>
        <a:lstStyle/>
        <a:p>
          <a:pPr lvl="0">
            <a:defRPr b="0">
              <a:solidFill>
                <a:srgbClr val="1A1A1A"/>
              </a:solidFill>
              <a:latin typeface="+mn-lt"/>
            </a:defRPr>
          </a:pPr>
        </a:p>
      </c:txPr>
    </c:legend>
    <c:plotVisOnly val="1"/>
  </c:chart>
  <c:spPr>
    <a:solidFill>
      <a:srgbClr val="E6F7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Daily % Gross Profit per Unit</a:t>
            </a:r>
          </a:p>
        </c:rich>
      </c:tx>
      <c:layout>
        <c:manualLayout>
          <c:xMode val="edge"/>
          <c:yMode val="edge"/>
          <c:x val="0.03091666666666667"/>
          <c:y val="0.04730458221024259"/>
        </c:manualLayout>
      </c:layout>
      <c:overlay val="0"/>
    </c:title>
    <c:plotArea>
      <c:layout/>
      <c:lineChart>
        <c:varyColors val="0"/>
        <c:ser>
          <c:idx val="0"/>
          <c:order val="0"/>
          <c:tx>
            <c:strRef>
              <c:f>result!$K$1</c:f>
            </c:strRef>
          </c:tx>
          <c:spPr>
            <a:ln cmpd="sng">
              <a:solidFill>
                <a:srgbClr val="00A9A4">
                  <a:alpha val="100000"/>
                </a:srgbClr>
              </a:solidFill>
            </a:ln>
          </c:spPr>
          <c:marker>
            <c:symbol val="none"/>
          </c:marker>
          <c:cat>
            <c:strRef>
              <c:f>result!$A$2:$A$1054</c:f>
            </c:strRef>
          </c:cat>
          <c:val>
            <c:numRef>
              <c:f>result!$K$2:$K$1054</c:f>
              <c:numCache/>
            </c:numRef>
          </c:val>
          <c:smooth val="0"/>
        </c:ser>
        <c:axId val="1844843115"/>
        <c:axId val="876173962"/>
      </c:lineChart>
      <c:catAx>
        <c:axId val="18448431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76173962"/>
      </c:catAx>
      <c:valAx>
        <c:axId val="8761739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daily_pct_gross_per_unit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44843115"/>
      </c:valAx>
    </c:plotArea>
    <c:legend>
      <c:legendPos val="r"/>
      <c:overlay val="0"/>
      <c:txPr>
        <a:bodyPr/>
        <a:lstStyle/>
        <a:p>
          <a:pPr lvl="0">
            <a:defRPr b="0">
              <a:solidFill>
                <a:srgbClr val="1A1A1A"/>
              </a:solidFill>
              <a:latin typeface="+mn-lt"/>
            </a:defRPr>
          </a:pPr>
        </a:p>
      </c:txPr>
    </c:legend>
    <c:plotVisOnly val="1"/>
  </c:chart>
  <c:spPr>
    <a:solidFill>
      <a:srgbClr val="E6F7F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Daily Cost Price per Unit</a:t>
            </a:r>
          </a:p>
        </c:rich>
      </c:tx>
      <c:overlay val="0"/>
    </c:title>
    <c:plotArea>
      <c:layout/>
      <c:lineChart>
        <c:varyColors val="0"/>
        <c:ser>
          <c:idx val="0"/>
          <c:order val="0"/>
          <c:tx>
            <c:strRef>
              <c:f>result!$I$1</c:f>
            </c:strRef>
          </c:tx>
          <c:spPr>
            <a:ln cmpd="sng">
              <a:solidFill>
                <a:srgbClr val="00A9A4">
                  <a:alpha val="100000"/>
                </a:srgbClr>
              </a:solidFill>
            </a:ln>
          </c:spPr>
          <c:marker>
            <c:symbol val="none"/>
          </c:marker>
          <c:val>
            <c:numRef>
              <c:f>result!$I$2:$I$1054</c:f>
              <c:numCache/>
            </c:numRef>
          </c:val>
          <c:smooth val="0"/>
        </c:ser>
        <c:axId val="1558367752"/>
        <c:axId val="917322281"/>
      </c:lineChart>
      <c:catAx>
        <c:axId val="15583677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17322281"/>
      </c:catAx>
      <c:valAx>
        <c:axId val="917322281"/>
        <c:scaling>
          <c:orientation val="minMax"/>
          <c:max val="45.0"/>
          <c:min val="25.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58367752"/>
      </c:valAx>
    </c:plotArea>
    <c:legend>
      <c:legendPos val="r"/>
      <c:overlay val="0"/>
      <c:txPr>
        <a:bodyPr/>
        <a:lstStyle/>
        <a:p>
          <a:pPr lvl="0">
            <a:defRPr b="0">
              <a:solidFill>
                <a:srgbClr val="1A1A1A"/>
              </a:solidFill>
              <a:latin typeface="+mn-lt"/>
            </a:defRPr>
          </a:pPr>
        </a:p>
      </c:txPr>
    </c:legend>
    <c:plotVisOnly val="1"/>
  </c:chart>
  <c:spPr>
    <a:solidFill>
      <a:srgbClr val="E6F7FF"/>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Daily Sales Price per Unit</a:t>
            </a:r>
          </a:p>
        </c:rich>
      </c:tx>
      <c:overlay val="0"/>
    </c:title>
    <c:plotArea>
      <c:layout/>
      <c:lineChart>
        <c:varyColors val="0"/>
        <c:ser>
          <c:idx val="0"/>
          <c:order val="0"/>
          <c:tx>
            <c:strRef>
              <c:f>result!$H$1</c:f>
            </c:strRef>
          </c:tx>
          <c:spPr>
            <a:ln cmpd="sng">
              <a:solidFill>
                <a:srgbClr val="00A9A4">
                  <a:alpha val="100000"/>
                </a:srgbClr>
              </a:solidFill>
            </a:ln>
          </c:spPr>
          <c:marker>
            <c:symbol val="none"/>
          </c:marker>
          <c:cat>
            <c:strRef>
              <c:f>result!$A$2:$A$1054</c:f>
            </c:strRef>
          </c:cat>
          <c:val>
            <c:numRef>
              <c:f>result!$H$2:$H$1054</c:f>
              <c:numCache/>
            </c:numRef>
          </c:val>
          <c:smooth val="0"/>
        </c:ser>
        <c:axId val="2068088618"/>
        <c:axId val="1081444296"/>
      </c:lineChart>
      <c:catAx>
        <c:axId val="20680886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81444296"/>
      </c:catAx>
      <c:valAx>
        <c:axId val="1081444296"/>
        <c:scaling>
          <c:orientation val="minMax"/>
        </c:scaling>
        <c:delete val="0"/>
        <c:axPos val="l"/>
        <c:minorGridlines>
          <c:spPr>
            <a:ln>
              <a:solidFill>
                <a:srgbClr val="CCCCCC">
                  <a:alpha val="0"/>
                </a:srgbClr>
              </a:solidFill>
            </a:ln>
          </c:spPr>
        </c:minorGridlines>
        <c:title>
          <c:tx>
            <c:rich>
              <a:bodyPr/>
              <a:lstStyle/>
              <a:p>
                <a:pPr lvl="0">
                  <a:defRPr b="0" sz="1600">
                    <a:solidFill>
                      <a:srgbClr val="000000"/>
                    </a:solidFill>
                    <a:latin typeface="+mn-lt"/>
                  </a:defRPr>
                </a:pPr>
                <a:r>
                  <a:rPr b="0" sz="1600">
                    <a:solidFill>
                      <a:srgbClr val="000000"/>
                    </a:solidFill>
                    <a:latin typeface="+mn-lt"/>
                  </a:rPr>
                  <a:t>Daily sales price per unit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68088618"/>
      </c:valAx>
    </c:plotArea>
    <c:legend>
      <c:legendPos val="r"/>
      <c:overlay val="0"/>
      <c:txPr>
        <a:bodyPr/>
        <a:lstStyle/>
        <a:p>
          <a:pPr lvl="0">
            <a:defRPr b="0">
              <a:solidFill>
                <a:srgbClr val="1A1A1A"/>
              </a:solidFill>
              <a:latin typeface="+mn-lt"/>
            </a:defRPr>
          </a:pPr>
        </a:p>
      </c:txPr>
    </c:legend>
    <c:plotVisOnly val="1"/>
  </c:chart>
  <c:spPr>
    <a:solidFill>
      <a:srgbClr val="E6F7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Daily Cost Price per Unit</a:t>
            </a:r>
          </a:p>
        </c:rich>
      </c:tx>
      <c:overlay val="0"/>
    </c:title>
    <c:plotArea>
      <c:layout/>
      <c:lineChart>
        <c:varyColors val="0"/>
        <c:ser>
          <c:idx val="0"/>
          <c:order val="0"/>
          <c:tx>
            <c:strRef>
              <c:f>result!$I$1</c:f>
            </c:strRef>
          </c:tx>
          <c:spPr>
            <a:ln cmpd="sng">
              <a:solidFill>
                <a:srgbClr val="00A9A4">
                  <a:alpha val="100000"/>
                </a:srgbClr>
              </a:solidFill>
            </a:ln>
          </c:spPr>
          <c:marker>
            <c:symbol val="none"/>
          </c:marker>
          <c:val>
            <c:numRef>
              <c:f>result!$I$2:$I$1054</c:f>
              <c:numCache/>
            </c:numRef>
          </c:val>
          <c:smooth val="0"/>
        </c:ser>
        <c:axId val="1178583146"/>
        <c:axId val="1025279512"/>
      </c:lineChart>
      <c:catAx>
        <c:axId val="11785831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25279512"/>
      </c:catAx>
      <c:valAx>
        <c:axId val="1025279512"/>
        <c:scaling>
          <c:orientation val="minMax"/>
          <c:max val="45.0"/>
          <c:min val="25.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78583146"/>
      </c:valAx>
    </c:plotArea>
    <c:legend>
      <c:legendPos val="r"/>
      <c:overlay val="0"/>
      <c:txPr>
        <a:bodyPr/>
        <a:lstStyle/>
        <a:p>
          <a:pPr lvl="0">
            <a:defRPr b="0">
              <a:solidFill>
                <a:srgbClr val="1A1A1A"/>
              </a:solidFill>
              <a:latin typeface="+mn-lt"/>
            </a:defRPr>
          </a:pPr>
        </a:p>
      </c:txPr>
    </c:legend>
    <c:plotVisOnly val="1"/>
  </c:chart>
  <c:spPr>
    <a:solidFill>
      <a:srgbClr val="E6F7FF"/>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Daily Sales vs Cost Price per Unit</a:t>
            </a:r>
          </a:p>
        </c:rich>
      </c:tx>
      <c:layout>
        <c:manualLayout>
          <c:xMode val="edge"/>
          <c:yMode val="edge"/>
          <c:x val="0.025288990345762746"/>
          <c:y val="0.044850178966062186"/>
        </c:manualLayout>
      </c:layout>
      <c:overlay val="0"/>
    </c:title>
    <c:plotArea>
      <c:layout>
        <c:manualLayout>
          <c:xMode val="edge"/>
          <c:yMode val="edge"/>
          <c:x val="0.06218850806451611"/>
          <c:y val="0.1376130828114127"/>
          <c:w val="0.7603921370967741"/>
          <c:h val="0.8476239066455882"/>
        </c:manualLayout>
      </c:layout>
      <c:lineChart>
        <c:ser>
          <c:idx val="0"/>
          <c:order val="0"/>
          <c:tx>
            <c:v>daily sales price per unit</c:v>
          </c:tx>
          <c:spPr>
            <a:ln cmpd="sng">
              <a:solidFill>
                <a:srgbClr val="4F81BD"/>
              </a:solidFill>
            </a:ln>
          </c:spPr>
          <c:marker>
            <c:symbol val="none"/>
          </c:marker>
          <c:cat>
            <c:strRef>
              <c:f>result!$A$2:$A$1054</c:f>
            </c:strRef>
          </c:cat>
          <c:val>
            <c:numRef>
              <c:f>result!$H$2:$H$1054</c:f>
              <c:numCache/>
            </c:numRef>
          </c:val>
          <c:smooth val="0"/>
        </c:ser>
        <c:ser>
          <c:idx val="1"/>
          <c:order val="1"/>
          <c:tx>
            <c:v>daily cost price per unit</c:v>
          </c:tx>
          <c:spPr>
            <a:ln cmpd="sng">
              <a:solidFill>
                <a:srgbClr val="C0504D"/>
              </a:solidFill>
            </a:ln>
          </c:spPr>
          <c:marker>
            <c:symbol val="none"/>
          </c:marker>
          <c:cat>
            <c:strRef>
              <c:f>result!$A$2:$A$1054</c:f>
            </c:strRef>
          </c:cat>
          <c:val>
            <c:numRef>
              <c:f>result!$I$2:$I$1054</c:f>
              <c:numCache/>
            </c:numRef>
          </c:val>
          <c:smooth val="0"/>
        </c:ser>
        <c:axId val="1476845668"/>
        <c:axId val="1098911630"/>
      </c:lineChart>
      <c:catAx>
        <c:axId val="14768456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98911630"/>
      </c:catAx>
      <c:valAx>
        <c:axId val="109891163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76845668"/>
      </c:valAx>
    </c:plotArea>
    <c:legend>
      <c:legendPos val="r"/>
      <c:legendEntry>
        <c:idx val="0"/>
        <c:txPr>
          <a:bodyPr/>
          <a:lstStyle/>
          <a:p>
            <a:pPr lvl="0">
              <a:defRPr sz="1400"/>
            </a:pPr>
          </a:p>
        </c:txPr>
      </c:legendEntry>
      <c:legendEntry>
        <c:idx val="1"/>
        <c:txPr>
          <a:bodyPr/>
          <a:lstStyle/>
          <a:p>
            <a:pPr lvl="0">
              <a:defRPr sz="1400"/>
            </a:pPr>
          </a:p>
        </c:txPr>
      </c:legendEntry>
      <c:overlay val="0"/>
      <c:txPr>
        <a:bodyPr/>
        <a:lstStyle/>
        <a:p>
          <a:pPr lvl="0">
            <a:defRPr b="0">
              <a:solidFill>
                <a:srgbClr val="1A1A1A"/>
              </a:solidFill>
              <a:latin typeface="+mn-lt"/>
            </a:defRPr>
          </a:pPr>
        </a:p>
      </c:txPr>
    </c:legend>
    <c:plotVisOnly val="1"/>
  </c:chart>
  <c:spPr>
    <a:solidFill>
      <a:srgbClr val="E6F7FF"/>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Daily Profit Per Unit</a:t>
            </a:r>
          </a:p>
        </c:rich>
      </c:tx>
      <c:overlay val="0"/>
    </c:title>
    <c:plotArea>
      <c:layout/>
      <c:lineChart>
        <c:varyColors val="0"/>
        <c:ser>
          <c:idx val="0"/>
          <c:order val="0"/>
          <c:tx>
            <c:strRef>
              <c:f>result!$J$1</c:f>
            </c:strRef>
          </c:tx>
          <c:spPr>
            <a:ln cmpd="sng">
              <a:solidFill>
                <a:srgbClr val="00A9A4">
                  <a:alpha val="100000"/>
                </a:srgbClr>
              </a:solidFill>
            </a:ln>
          </c:spPr>
          <c:marker>
            <c:symbol val="none"/>
          </c:marker>
          <c:cat>
            <c:strRef>
              <c:f>result!$A$2:$A$1054</c:f>
            </c:strRef>
          </c:cat>
          <c:val>
            <c:numRef>
              <c:f>result!$J$2:$J$1054</c:f>
              <c:numCache/>
            </c:numRef>
          </c:val>
          <c:smooth val="0"/>
        </c:ser>
        <c:axId val="1641884924"/>
        <c:axId val="496582149"/>
      </c:lineChart>
      <c:catAx>
        <c:axId val="16418849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96582149"/>
      </c:catAx>
      <c:valAx>
        <c:axId val="4965821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41884924"/>
      </c:valAx>
    </c:plotArea>
    <c:legend>
      <c:legendPos val="r"/>
      <c:overlay val="0"/>
      <c:txPr>
        <a:bodyPr/>
        <a:lstStyle/>
        <a:p>
          <a:pPr lvl="0">
            <a:defRPr b="0">
              <a:solidFill>
                <a:srgbClr val="1A1A1A"/>
              </a:solidFill>
              <a:latin typeface="+mn-lt"/>
            </a:defRPr>
          </a:pPr>
        </a:p>
      </c:txPr>
    </c:legend>
    <c:plotVisOnly val="1"/>
  </c:chart>
  <c:spPr>
    <a:solidFill>
      <a:srgbClr val="E6F7FF"/>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Daily % Gross Profit per Unit</a:t>
            </a:r>
          </a:p>
        </c:rich>
      </c:tx>
      <c:layout>
        <c:manualLayout>
          <c:xMode val="edge"/>
          <c:yMode val="edge"/>
          <c:x val="0.03091666666666667"/>
          <c:y val="0.04730458221024259"/>
        </c:manualLayout>
      </c:layout>
      <c:overlay val="0"/>
    </c:title>
    <c:plotArea>
      <c:layout/>
      <c:lineChart>
        <c:varyColors val="0"/>
        <c:ser>
          <c:idx val="0"/>
          <c:order val="0"/>
          <c:tx>
            <c:strRef>
              <c:f>result!$K$1</c:f>
            </c:strRef>
          </c:tx>
          <c:spPr>
            <a:ln cmpd="sng">
              <a:solidFill>
                <a:srgbClr val="00A9A4">
                  <a:alpha val="100000"/>
                </a:srgbClr>
              </a:solidFill>
            </a:ln>
          </c:spPr>
          <c:marker>
            <c:symbol val="none"/>
          </c:marker>
          <c:cat>
            <c:strRef>
              <c:f>result!$A$2:$A$1054</c:f>
            </c:strRef>
          </c:cat>
          <c:val>
            <c:numRef>
              <c:f>result!$K$2:$K$1054</c:f>
              <c:numCache/>
            </c:numRef>
          </c:val>
          <c:smooth val="0"/>
        </c:ser>
        <c:axId val="282313095"/>
        <c:axId val="332181621"/>
      </c:lineChart>
      <c:catAx>
        <c:axId val="2823130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32181621"/>
      </c:catAx>
      <c:valAx>
        <c:axId val="3321816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daily_pct_gross_per_unit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82313095"/>
      </c:valAx>
    </c:plotArea>
    <c:legend>
      <c:legendPos val="r"/>
      <c:overlay val="0"/>
      <c:txPr>
        <a:bodyPr/>
        <a:lstStyle/>
        <a:p>
          <a:pPr lvl="0">
            <a:defRPr b="0">
              <a:solidFill>
                <a:srgbClr val="1A1A1A"/>
              </a:solidFill>
              <a:latin typeface="+mn-lt"/>
            </a:defRPr>
          </a:pPr>
        </a:p>
      </c:txPr>
    </c:legend>
    <c:plotVisOnly val="1"/>
  </c:chart>
  <c:spPr>
    <a:solidFill>
      <a:srgbClr val="E6F7FF"/>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image" Target="../media/Chart11.png"/><Relationship Id="rId5" Type="http://schemas.openxmlformats.org/officeDocument/2006/relationships/image" Target="../media/Chart12.png"/><Relationship Id="rId6" Type="http://schemas.openxmlformats.org/officeDocument/2006/relationships/image" Target="../media/Chart13.png"/><Relationship Id="rId7"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 Id="rId5" Type="http://schemas.openxmlformats.org/officeDocument/2006/relationships/chart" Target="../charts/chart13.xml"/><Relationship Id="rId6" Type="http://schemas.openxmlformats.org/officeDocument/2006/relationships/image" Target="../media/Chart11.png"/><Relationship Id="rId7" Type="http://schemas.openxmlformats.org/officeDocument/2006/relationships/image" Target="../media/Chart12.png"/><Relationship Id="rId8" Type="http://schemas.openxmlformats.org/officeDocument/2006/relationships/image" Target="../media/Chart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219075</xdr:colOff>
      <xdr:row>11</xdr:row>
      <xdr:rowOff>114300</xdr:rowOff>
    </xdr:from>
    <xdr:ext cx="2867025" cy="1771650"/>
    <xdr:pic>
      <xdr:nvPicPr>
        <xdr:cNvPr id="1484274501"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57150</xdr:colOff>
      <xdr:row>21</xdr:row>
      <xdr:rowOff>47625</xdr:rowOff>
    </xdr:from>
    <xdr:ext cx="5715000" cy="3533775"/>
    <xdr:graphicFrame>
      <xdr:nvGraphicFramePr>
        <xdr:cNvPr id="991131831"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76200</xdr:colOff>
      <xdr:row>23</xdr:row>
      <xdr:rowOff>161925</xdr:rowOff>
    </xdr:from>
    <xdr:ext cx="4362450" cy="2705100"/>
    <xdr:pic>
      <xdr:nvPicPr>
        <xdr:cNvPr id="29057450"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219075</xdr:colOff>
      <xdr:row>1</xdr:row>
      <xdr:rowOff>114300</xdr:rowOff>
    </xdr:from>
    <xdr:ext cx="3009900" cy="1866900"/>
    <xdr:pic>
      <xdr:nvPicPr>
        <xdr:cNvPr id="1547658174"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57150</xdr:colOff>
      <xdr:row>9</xdr:row>
      <xdr:rowOff>47625</xdr:rowOff>
    </xdr:from>
    <xdr:ext cx="5715000" cy="3533775"/>
    <xdr:graphicFrame>
      <xdr:nvGraphicFramePr>
        <xdr:cNvPr id="2071540142"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600075</xdr:colOff>
      <xdr:row>0</xdr:row>
      <xdr:rowOff>28575</xdr:rowOff>
    </xdr:from>
    <xdr:ext cx="5715000" cy="3533775"/>
    <xdr:graphicFrame>
      <xdr:nvGraphicFramePr>
        <xdr:cNvPr id="1355892588"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600075</xdr:colOff>
      <xdr:row>20</xdr:row>
      <xdr:rowOff>38100</xdr:rowOff>
    </xdr:from>
    <xdr:ext cx="5715000" cy="3533775"/>
    <xdr:graphicFrame>
      <xdr:nvGraphicFramePr>
        <xdr:cNvPr id="1196240146"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22</xdr:row>
      <xdr:rowOff>66675</xdr:rowOff>
    </xdr:from>
    <xdr:ext cx="4924425" cy="2981325"/>
    <xdr:graphicFrame>
      <xdr:nvGraphicFramePr>
        <xdr:cNvPr id="711244519"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333375</xdr:colOff>
      <xdr:row>22</xdr:row>
      <xdr:rowOff>66675</xdr:rowOff>
    </xdr:from>
    <xdr:ext cx="4857750" cy="2981325"/>
    <xdr:graphicFrame>
      <xdr:nvGraphicFramePr>
        <xdr:cNvPr id="2130267280"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828675</xdr:colOff>
      <xdr:row>22</xdr:row>
      <xdr:rowOff>66675</xdr:rowOff>
    </xdr:from>
    <xdr:ext cx="4981575" cy="2981325"/>
    <xdr:graphicFrame>
      <xdr:nvGraphicFramePr>
        <xdr:cNvPr id="1663692280" name="Chart 10"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13</xdr:col>
      <xdr:colOff>47625</xdr:colOff>
      <xdr:row>10</xdr:row>
      <xdr:rowOff>161925</xdr:rowOff>
    </xdr:from>
    <xdr:ext cx="1914525" cy="838200"/>
    <xdr:pic>
      <xdr:nvPicPr>
        <xdr:cNvPr id="2029022272" name="Chart11"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47625</xdr:colOff>
      <xdr:row>16</xdr:row>
      <xdr:rowOff>9525</xdr:rowOff>
    </xdr:from>
    <xdr:ext cx="1914525" cy="838200"/>
    <xdr:pic>
      <xdr:nvPicPr>
        <xdr:cNvPr id="326240705" name="Chart12"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57150</xdr:colOff>
      <xdr:row>4</xdr:row>
      <xdr:rowOff>66675</xdr:rowOff>
    </xdr:from>
    <xdr:ext cx="1914525" cy="1028700"/>
    <xdr:pic>
      <xdr:nvPicPr>
        <xdr:cNvPr id="1707790364" name="Chart13"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200025</xdr:colOff>
      <xdr:row>4</xdr:row>
      <xdr:rowOff>152400</xdr:rowOff>
    </xdr:from>
    <xdr:ext cx="6353175" cy="2981325"/>
    <xdr:graphicFrame>
      <xdr:nvGraphicFramePr>
        <xdr:cNvPr id="859273274" name="Chart 14"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13</xdr:col>
      <xdr:colOff>295275</xdr:colOff>
      <xdr:row>0</xdr:row>
      <xdr:rowOff>28575</xdr:rowOff>
    </xdr:from>
    <xdr:ext cx="1666875" cy="2857500"/>
    <mc:AlternateContent>
      <mc:Choice Requires="sle15">
        <xdr:graphicFrame>
          <xdr:nvGraphicFramePr>
            <xdr:cNvPr id="1" name="Year_1"/>
            <xdr:cNvGraphicFramePr/>
          </xdr:nvGraphicFramePr>
          <xdr:xfrm>
            <a:off x="0" y="0"/>
            <a:ext cx="0" cy="0"/>
          </xdr:xfrm>
          <a:graphic>
            <a:graphicData uri="http://schemas.microsoft.com/office/drawing/2010/slicer">
              <x3Unk:slicer name="Year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4</xdr:row>
      <xdr:rowOff>123825</xdr:rowOff>
    </xdr:from>
    <xdr:ext cx="6619875" cy="2981325"/>
    <xdr:graphicFrame>
      <xdr:nvGraphicFramePr>
        <xdr:cNvPr id="202151420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200025</xdr:colOff>
      <xdr:row>4</xdr:row>
      <xdr:rowOff>152400</xdr:rowOff>
    </xdr:from>
    <xdr:ext cx="6353175" cy="2981325"/>
    <xdr:graphicFrame>
      <xdr:nvGraphicFramePr>
        <xdr:cNvPr id="328742669"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142875</xdr:colOff>
      <xdr:row>22</xdr:row>
      <xdr:rowOff>66675</xdr:rowOff>
    </xdr:from>
    <xdr:ext cx="4924425" cy="2981325"/>
    <xdr:graphicFrame>
      <xdr:nvGraphicFramePr>
        <xdr:cNvPr id="1073829570"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333375</xdr:colOff>
      <xdr:row>22</xdr:row>
      <xdr:rowOff>66675</xdr:rowOff>
    </xdr:from>
    <xdr:ext cx="4857750" cy="2981325"/>
    <xdr:graphicFrame>
      <xdr:nvGraphicFramePr>
        <xdr:cNvPr id="1313419466"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828675</xdr:colOff>
      <xdr:row>22</xdr:row>
      <xdr:rowOff>66675</xdr:rowOff>
    </xdr:from>
    <xdr:ext cx="4981575" cy="2981325"/>
    <xdr:graphicFrame>
      <xdr:nvGraphicFramePr>
        <xdr:cNvPr id="464499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13</xdr:col>
      <xdr:colOff>47625</xdr:colOff>
      <xdr:row>10</xdr:row>
      <xdr:rowOff>161925</xdr:rowOff>
    </xdr:from>
    <xdr:ext cx="1914525" cy="838200"/>
    <xdr:pic>
      <xdr:nvPicPr>
        <xdr:cNvPr id="1907454992" name="Chart20"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47625</xdr:colOff>
      <xdr:row>16</xdr:row>
      <xdr:rowOff>9525</xdr:rowOff>
    </xdr:from>
    <xdr:ext cx="1914525" cy="838200"/>
    <xdr:pic>
      <xdr:nvPicPr>
        <xdr:cNvPr id="1807086743" name="Chart21"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13</xdr:col>
      <xdr:colOff>57150</xdr:colOff>
      <xdr:row>4</xdr:row>
      <xdr:rowOff>66675</xdr:rowOff>
    </xdr:from>
    <xdr:ext cx="1914525" cy="1028700"/>
    <xdr:pic>
      <xdr:nvPicPr>
        <xdr:cNvPr id="432803357" name="Chart22"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1054" sheet="result"/>
  </cacheSource>
  <cacheFields>
    <cacheField name="Clean_Date" numFmtId="164">
      <sharedItems containsSemiMixedTypes="0" containsDate="1" containsString="0">
        <d v="2013-12-30T00:00:00Z"/>
        <d v="2013-12-31T00:00:00Z"/>
        <d v="2014-01-01T00:00:00Z"/>
        <d v="2014-01-02T00:00:00Z"/>
        <d v="2014-01-03T00:00:00Z"/>
        <d v="2014-01-04T00:00:00Z"/>
        <d v="2014-01-05T00:00:00Z"/>
        <d v="2014-01-06T00:00:00Z"/>
        <d v="2014-01-07T00:00:00Z"/>
        <d v="2014-01-08T00:00:00Z"/>
        <d v="2014-01-09T00:00:00Z"/>
        <d v="2014-01-10T00:00:00Z"/>
        <d v="2014-01-11T00:00:00Z"/>
        <d v="2014-01-12T00:00:00Z"/>
        <d v="2014-01-13T00:00:00Z"/>
        <d v="2014-01-14T00:00:00Z"/>
        <d v="2014-01-15T00:00:00Z"/>
        <d v="2014-01-16T00:00:00Z"/>
        <d v="2014-01-17T00:00:00Z"/>
        <d v="2014-01-18T00:00:00Z"/>
        <d v="2014-01-19T00:00:00Z"/>
        <d v="2014-01-20T00:00:00Z"/>
        <d v="2014-01-21T00:00:00Z"/>
        <d v="2014-01-22T00:00:00Z"/>
        <d v="2014-01-23T00:00:00Z"/>
        <d v="2014-01-24T00:00:00Z"/>
        <d v="2014-01-25T00:00:00Z"/>
        <d v="2014-01-26T00:00:00Z"/>
        <d v="2014-01-27T00:00:00Z"/>
        <d v="2014-01-28T00:00:00Z"/>
        <d v="2014-01-29T00:00:00Z"/>
        <d v="2014-01-30T00:00:00Z"/>
        <d v="2014-01-31T00:00:00Z"/>
        <d v="2014-02-01T00:00:00Z"/>
        <d v="2014-02-02T00:00:00Z"/>
        <d v="2014-02-03T00:00:00Z"/>
        <d v="2014-02-04T00:00:00Z"/>
        <d v="2014-02-05T00:00:00Z"/>
        <d v="2014-02-06T00:00:00Z"/>
        <d v="2014-02-07T00:00:00Z"/>
        <d v="2014-02-08T00:00:00Z"/>
        <d v="2014-02-09T00:00:00Z"/>
        <d v="2014-02-10T00:00:00Z"/>
        <d v="2014-02-11T00:00:00Z"/>
        <d v="2014-02-12T00:00:00Z"/>
        <d v="2014-02-13T00:00:00Z"/>
        <d v="2014-02-14T00:00:00Z"/>
        <d v="2014-02-15T00:00:00Z"/>
        <d v="2014-02-16T00:00:00Z"/>
        <d v="2014-02-17T00:00:00Z"/>
        <d v="2014-02-18T00:00:00Z"/>
        <d v="2014-02-19T00:00:00Z"/>
        <d v="2014-02-20T00:00:00Z"/>
        <d v="2014-02-21T00:00:00Z"/>
        <d v="2014-02-22T00:00:00Z"/>
        <d v="2014-02-23T00:00:00Z"/>
        <d v="2014-02-24T00:00:00Z"/>
        <d v="2014-02-25T00:00:00Z"/>
        <d v="2014-02-26T00:00:00Z"/>
        <d v="2014-02-27T00:00:00Z"/>
        <d v="2014-02-28T00:00:00Z"/>
        <d v="2014-03-01T00:00:00Z"/>
        <d v="2014-03-02T00:00:00Z"/>
        <d v="2014-03-03T00:00:00Z"/>
        <d v="2014-03-04T00:00:00Z"/>
        <d v="2014-03-05T00:00:00Z"/>
        <d v="2014-03-06T00:00:00Z"/>
        <d v="2014-03-07T00:00:00Z"/>
        <d v="2014-03-08T00:00:00Z"/>
        <d v="2014-03-09T00:00:00Z"/>
        <d v="2014-03-10T00:00:00Z"/>
        <d v="2014-03-11T00:00:00Z"/>
        <d v="2014-03-12T00:00:00Z"/>
        <d v="2014-03-13T00:00:00Z"/>
        <d v="2014-03-14T00:00:00Z"/>
        <d v="2014-03-15T00:00:00Z"/>
        <d v="2014-03-16T00:00:00Z"/>
        <d v="2014-03-17T00:00:00Z"/>
        <d v="2014-03-18T00:00:00Z"/>
        <d v="2014-03-19T00:00:00Z"/>
        <d v="2014-03-20T00:00:00Z"/>
        <d v="2014-03-21T00:00:00Z"/>
        <d v="2014-03-22T00:00:00Z"/>
        <d v="2014-03-23T00:00:00Z"/>
        <d v="2014-03-24T00:00:00Z"/>
        <d v="2014-03-25T00:00:00Z"/>
        <d v="2014-03-26T00:00:00Z"/>
        <d v="2014-03-27T00:00:00Z"/>
        <d v="2014-03-28T00:00:00Z"/>
        <d v="2014-03-29T00:00:00Z"/>
        <d v="2014-03-30T00:00:00Z"/>
        <d v="2014-03-31T00:00:00Z"/>
        <d v="2014-04-01T00:00:00Z"/>
        <d v="2014-04-02T00:00:00Z"/>
        <d v="2014-04-03T00:00:00Z"/>
        <d v="2014-04-04T00:00:00Z"/>
        <d v="2014-04-05T00:00:00Z"/>
        <d v="2014-04-06T00:00:00Z"/>
        <d v="2014-04-07T00:00:00Z"/>
        <d v="2014-04-08T00:00:00Z"/>
        <d v="2014-04-09T00:00:00Z"/>
        <d v="2014-04-10T00:00:00Z"/>
        <d v="2014-04-11T00:00:00Z"/>
        <d v="2014-04-12T00:00:00Z"/>
        <d v="2014-04-13T00:00:00Z"/>
        <d v="2014-04-14T00:00:00Z"/>
        <d v="2014-04-15T00:00:00Z"/>
        <d v="2014-04-16T00:00:00Z"/>
        <d v="2014-04-17T00:00:00Z"/>
        <d v="2014-04-18T00:00:00Z"/>
        <d v="2014-04-19T00:00:00Z"/>
        <d v="2014-04-20T00:00:00Z"/>
        <d v="2014-04-21T00:00:00Z"/>
        <d v="2014-04-22T00:00:00Z"/>
        <d v="2014-04-23T00:00:00Z"/>
        <d v="2014-04-24T00:00:00Z"/>
        <d v="2014-04-25T00:00:00Z"/>
        <d v="2014-04-26T00:00:00Z"/>
        <d v="2014-04-27T00:00:00Z"/>
        <d v="2014-04-28T00:00:00Z"/>
        <d v="2014-04-29T00:00:00Z"/>
        <d v="2014-04-30T00:00:00Z"/>
        <d v="2014-05-01T00:00:00Z"/>
        <d v="2014-05-02T00:00:00Z"/>
        <d v="2014-05-03T00:00:00Z"/>
        <d v="2014-05-04T00:00:00Z"/>
        <d v="2014-05-05T00:00:00Z"/>
        <d v="2014-05-06T00:00:00Z"/>
        <d v="2014-05-07T00:00:00Z"/>
        <d v="2014-05-08T00:00:00Z"/>
        <d v="2014-05-09T00:00:00Z"/>
        <d v="2014-05-10T00:00:00Z"/>
        <d v="2014-05-11T00:00:00Z"/>
        <d v="2014-05-12T00:00:00Z"/>
        <d v="2014-05-13T00:00:00Z"/>
        <d v="2014-05-14T00:00:00Z"/>
        <d v="2014-05-15T00:00:00Z"/>
        <d v="2014-05-16T00:00:00Z"/>
        <d v="2014-05-17T00:00:00Z"/>
        <d v="2014-05-18T00:00:00Z"/>
        <d v="2014-05-19T00:00:00Z"/>
        <d v="2014-05-20T00:00:00Z"/>
        <d v="2014-05-21T00:00:00Z"/>
        <d v="2014-05-22T00:00:00Z"/>
        <d v="2014-05-23T00:00:00Z"/>
        <d v="2014-05-24T00:00:00Z"/>
        <d v="2014-05-25T00:00:00Z"/>
        <d v="2014-05-26T00:00:00Z"/>
        <d v="2014-05-27T00:00:00Z"/>
        <d v="2014-05-28T00:00:00Z"/>
        <d v="2014-05-29T00:00:00Z"/>
        <d v="2014-05-30T00:00:00Z"/>
        <d v="2014-05-31T00:00:00Z"/>
        <d v="2014-06-01T00:00:00Z"/>
        <d v="2014-06-02T00:00:00Z"/>
        <d v="2014-06-03T00:00:00Z"/>
        <d v="2014-06-04T00:00:00Z"/>
        <d v="2014-06-05T00:00:00Z"/>
        <d v="2014-06-06T00:00:00Z"/>
        <d v="2014-06-07T00:00:00Z"/>
        <d v="2014-06-08T00:00:00Z"/>
        <d v="2014-06-09T00:00:00Z"/>
        <d v="2014-06-10T00:00:00Z"/>
        <d v="2014-06-11T00:00:00Z"/>
        <d v="2014-06-12T00:00:00Z"/>
        <d v="2014-06-13T00:00:00Z"/>
        <d v="2014-06-14T00:00:00Z"/>
        <d v="2014-06-15T00:00:00Z"/>
        <d v="2014-06-16T00:00:00Z"/>
        <d v="2014-06-17T00:00:00Z"/>
        <d v="2014-06-18T00:00:00Z"/>
        <d v="2014-06-19T00:00:00Z"/>
        <d v="2014-06-20T00:00:00Z"/>
        <d v="2014-06-21T00:00:00Z"/>
        <d v="2014-06-22T00:00:00Z"/>
        <d v="2014-06-23T00:00:00Z"/>
        <d v="2014-06-24T00:00:00Z"/>
        <d v="2014-06-25T00:00:00Z"/>
        <d v="2014-06-26T00:00:00Z"/>
        <d v="2014-06-27T00:00:00Z"/>
        <d v="2014-06-28T00:00:00Z"/>
        <d v="2014-06-29T00:00:00Z"/>
        <d v="2014-06-30T00:00:00Z"/>
        <d v="2014-07-01T00:00:00Z"/>
        <d v="2014-07-02T00:00:00Z"/>
        <d v="2014-07-03T00:00:00Z"/>
        <d v="2014-07-04T00:00:00Z"/>
        <d v="2014-07-05T00:00:00Z"/>
        <d v="2014-07-06T00:00:00Z"/>
        <d v="2014-07-07T00:00:00Z"/>
        <d v="2014-07-08T00:00:00Z"/>
        <d v="2014-07-09T00:00:00Z"/>
        <d v="2014-07-10T00:00:00Z"/>
        <d v="2014-07-11T00:00:00Z"/>
        <d v="2014-07-12T00:00:00Z"/>
        <d v="2014-07-13T00:00:00Z"/>
        <d v="2014-07-14T00:00:00Z"/>
        <d v="2014-07-15T00:00:00Z"/>
        <d v="2014-07-16T00:00:00Z"/>
        <d v="2014-07-17T00:00:00Z"/>
        <d v="2014-07-18T00:00:00Z"/>
        <d v="2014-07-19T00:00:00Z"/>
        <d v="2014-07-20T00:00:00Z"/>
        <d v="2014-07-21T00:00:00Z"/>
        <d v="2014-07-22T00:00:00Z"/>
        <d v="2014-07-23T00:00:00Z"/>
        <d v="2014-07-24T00:00:00Z"/>
        <d v="2014-07-25T00:00:00Z"/>
        <d v="2014-07-26T00:00:00Z"/>
        <d v="2014-07-27T00:00:00Z"/>
        <d v="2014-07-28T00:00:00Z"/>
        <d v="2014-07-29T00:00:00Z"/>
        <d v="2014-07-30T00:00:00Z"/>
        <d v="2014-07-31T00:00:00Z"/>
        <d v="2014-08-01T00:00:00Z"/>
        <d v="2014-08-02T00:00:00Z"/>
        <d v="2014-08-03T00:00:00Z"/>
        <d v="2014-08-04T00:00:00Z"/>
        <d v="2014-08-05T00:00:00Z"/>
        <d v="2014-08-06T00:00:00Z"/>
        <d v="2014-08-07T00:00:00Z"/>
        <d v="2014-08-08T00:00:00Z"/>
        <d v="2014-08-09T00:00:00Z"/>
        <d v="2014-08-10T00:00:00Z"/>
        <d v="2014-08-11T00:00:00Z"/>
        <d v="2014-08-12T00:00:00Z"/>
        <d v="2014-08-13T00:00:00Z"/>
        <d v="2014-08-14T00:00:00Z"/>
        <d v="2014-08-15T00:00:00Z"/>
        <d v="2014-08-16T00:00:00Z"/>
        <d v="2014-08-17T00:00:00Z"/>
        <d v="2014-08-18T00:00:00Z"/>
        <d v="2014-08-19T00:00:00Z"/>
        <d v="2014-08-20T00:00:00Z"/>
        <d v="2014-08-21T00:00:00Z"/>
        <d v="2014-08-22T00:00:00Z"/>
        <d v="2014-08-23T00:00:00Z"/>
        <d v="2014-08-24T00:00:00Z"/>
        <d v="2014-08-25T00:00:00Z"/>
        <d v="2014-08-26T00:00:00Z"/>
        <d v="2014-08-27T00:00:00Z"/>
        <d v="2014-08-28T00:00:00Z"/>
        <d v="2014-08-29T00:00:00Z"/>
        <d v="2014-08-30T00:00:00Z"/>
        <d v="2014-08-31T00:00:00Z"/>
        <d v="2014-09-01T00:00:00Z"/>
        <d v="2014-09-02T00:00:00Z"/>
        <d v="2014-09-03T00:00:00Z"/>
        <d v="2014-09-04T00:00:00Z"/>
        <d v="2014-09-05T00:00:00Z"/>
        <d v="2014-09-06T00:00:00Z"/>
        <d v="2014-09-07T00:00:00Z"/>
        <d v="2014-09-08T00:00:00Z"/>
        <d v="2014-09-09T00:00:00Z"/>
        <d v="2014-09-10T00:00:00Z"/>
        <d v="2014-09-11T00:00:00Z"/>
        <d v="2014-09-12T00:00:00Z"/>
        <d v="2014-09-13T00:00:00Z"/>
        <d v="2014-09-14T00:00:00Z"/>
        <d v="2014-09-15T00:00:00Z"/>
        <d v="2014-09-16T00:00:00Z"/>
        <d v="2014-09-17T00:00:00Z"/>
        <d v="2014-09-18T00:00:00Z"/>
        <d v="2014-09-19T00:00:00Z"/>
        <d v="2014-09-20T00:00:00Z"/>
        <d v="2014-09-21T00:00:00Z"/>
        <d v="2014-09-22T00:00:00Z"/>
        <d v="2014-09-23T00:00:00Z"/>
        <d v="2014-09-24T00:00:00Z"/>
        <d v="2014-09-25T00:00:00Z"/>
        <d v="2014-09-26T00:00:00Z"/>
        <d v="2014-09-27T00:00:00Z"/>
        <d v="2014-09-28T00:00:00Z"/>
        <d v="2014-09-29T00:00:00Z"/>
        <d v="2014-09-30T00:00:00Z"/>
        <d v="2014-10-01T00:00:00Z"/>
        <d v="2014-10-02T00:00:00Z"/>
        <d v="2014-10-03T00:00:00Z"/>
        <d v="2014-10-04T00:00:00Z"/>
        <d v="2014-10-05T00:00:00Z"/>
        <d v="2014-10-06T00:00:00Z"/>
        <d v="2014-10-07T00:00:00Z"/>
        <d v="2014-10-08T00:00:00Z"/>
        <d v="2014-10-09T00:00:00Z"/>
        <d v="2014-10-10T00:00:00Z"/>
        <d v="2014-10-11T00:00:00Z"/>
        <d v="2014-10-12T00:00:00Z"/>
        <d v="2014-10-13T00:00:00Z"/>
        <d v="2014-10-14T00:00:00Z"/>
        <d v="2014-10-15T00:00:00Z"/>
        <d v="2014-10-16T00:00:00Z"/>
        <d v="2014-10-17T00:00:00Z"/>
        <d v="2014-10-18T00:00:00Z"/>
        <d v="2014-10-19T00:00:00Z"/>
        <d v="2014-10-20T00:00:00Z"/>
        <d v="2014-10-21T00:00:00Z"/>
        <d v="2014-10-22T00:00:00Z"/>
        <d v="2014-10-23T00:00:00Z"/>
        <d v="2014-10-24T00:00:00Z"/>
        <d v="2014-10-25T00:00:00Z"/>
        <d v="2014-10-26T00:00:00Z"/>
        <d v="2014-10-27T00:00:00Z"/>
        <d v="2014-10-28T00:00:00Z"/>
        <d v="2014-10-29T00:00:00Z"/>
        <d v="2014-10-30T00:00:00Z"/>
        <d v="2014-10-31T00:00:00Z"/>
        <d v="2014-11-01T00:00:00Z"/>
        <d v="2014-11-02T00:00:00Z"/>
        <d v="2014-11-03T00:00:00Z"/>
        <d v="2014-11-04T00:00:00Z"/>
        <d v="2014-11-05T00:00:00Z"/>
        <d v="2014-11-06T00:00:00Z"/>
        <d v="2014-11-07T00:00:00Z"/>
        <d v="2014-11-08T00:00:00Z"/>
        <d v="2014-11-09T00:00:00Z"/>
        <d v="2014-11-10T00:00:00Z"/>
        <d v="2014-11-11T00:00:00Z"/>
        <d v="2014-11-12T00:00:00Z"/>
        <d v="2014-11-13T00:00:00Z"/>
        <d v="2014-11-14T00:00:00Z"/>
        <d v="2014-11-15T00:00:00Z"/>
        <d v="2014-11-16T00:00:00Z"/>
        <d v="2014-11-17T00:00:00Z"/>
        <d v="2014-11-18T00:00:00Z"/>
        <d v="2014-11-19T00:00:00Z"/>
        <d v="2014-11-20T00:00:00Z"/>
        <d v="2014-11-21T00:00:00Z"/>
        <d v="2014-11-22T00:00:00Z"/>
        <d v="2014-11-23T00:00:00Z"/>
        <d v="2014-11-24T00:00:00Z"/>
        <d v="2014-11-25T00:00:00Z"/>
        <d v="2014-11-26T00:00:00Z"/>
        <d v="2014-11-27T00:00:00Z"/>
        <d v="2014-11-28T00:00:00Z"/>
        <d v="2014-11-29T00:00:00Z"/>
        <d v="2014-11-30T00:00:00Z"/>
        <d v="2014-12-01T00:00:00Z"/>
        <d v="2014-12-02T00:00:00Z"/>
        <d v="2014-12-03T00:00:00Z"/>
        <d v="2014-12-04T00:00:00Z"/>
        <d v="2014-12-05T00:00:00Z"/>
        <d v="2014-12-06T00:00:00Z"/>
        <d v="2014-12-07T00:00:00Z"/>
        <d v="2014-12-08T00:00:00Z"/>
        <d v="2014-12-09T00:00:00Z"/>
        <d v="2014-12-10T00:00:00Z"/>
        <d v="2014-12-11T00:00:00Z"/>
        <d v="2014-12-12T00:00:00Z"/>
        <d v="2014-12-13T00:00:00Z"/>
        <d v="2014-12-14T00:00:00Z"/>
        <d v="2014-12-15T00:00:00Z"/>
        <d v="2014-12-16T00:00:00Z"/>
        <d v="2014-12-17T00:00:00Z"/>
        <d v="2014-12-18T00:00:00Z"/>
        <d v="2014-12-19T00:00:00Z"/>
        <d v="2014-12-20T00:00:00Z"/>
        <d v="2014-12-21T00:00:00Z"/>
        <d v="2014-12-22T00:00:00Z"/>
        <d v="2014-12-23T00:00:00Z"/>
        <d v="2014-12-24T00:00:00Z"/>
        <d v="2014-12-25T00:00:00Z"/>
        <d v="2014-12-26T00:00:00Z"/>
        <d v="2014-12-27T00:00:00Z"/>
        <d v="2014-12-28T00:00:00Z"/>
        <d v="2014-12-29T00:00:00Z"/>
        <d v="2014-12-30T00:00:00Z"/>
        <d v="2014-12-31T00:00:00Z"/>
        <d v="2015-01-01T00:00:00Z"/>
        <d v="2015-01-02T00:00:00Z"/>
        <d v="2015-01-03T00:00:00Z"/>
        <d v="2015-01-04T00:00:00Z"/>
        <d v="2015-01-05T00:00:00Z"/>
        <d v="2015-01-06T00:00:00Z"/>
        <d v="2015-01-07T00:00:00Z"/>
        <d v="2015-01-08T00:00:00Z"/>
        <d v="2015-01-09T00:00:00Z"/>
        <d v="2015-01-10T00:00:00Z"/>
        <d v="2015-01-11T00:00:00Z"/>
        <d v="2015-01-12T00:00:00Z"/>
        <d v="2015-01-13T00:00:00Z"/>
        <d v="2015-01-14T00:00:00Z"/>
        <d v="2015-01-15T00:00:00Z"/>
        <d v="2015-01-16T00:00:00Z"/>
        <d v="2015-01-17T00:00:00Z"/>
        <d v="2015-01-18T00:00:00Z"/>
        <d v="2015-01-19T00:00:00Z"/>
        <d v="2015-01-20T00:00:00Z"/>
        <d v="2015-01-21T00:00:00Z"/>
        <d v="2015-01-22T00:00:00Z"/>
        <d v="2015-01-23T00:00:00Z"/>
        <d v="2015-01-24T00:00:00Z"/>
        <d v="2015-01-25T00:00:00Z"/>
        <d v="2015-01-26T00:00:00Z"/>
        <d v="2015-01-27T00:00:00Z"/>
        <d v="2015-01-28T00:00:00Z"/>
        <d v="2015-01-29T00:00:00Z"/>
        <d v="2015-01-30T00:00:00Z"/>
        <d v="2015-01-31T00:00:00Z"/>
        <d v="2015-02-01T00:00:00Z"/>
        <d v="2015-02-02T00:00:00Z"/>
        <d v="2015-02-03T00:00:00Z"/>
        <d v="2015-02-04T00:00:00Z"/>
        <d v="2015-02-05T00:00:00Z"/>
        <d v="2015-02-06T00:00:00Z"/>
        <d v="2015-02-07T00:00:00Z"/>
        <d v="2015-02-08T00:00:00Z"/>
        <d v="2015-02-09T00:00:00Z"/>
        <d v="2015-02-10T00:00:00Z"/>
        <d v="2015-02-11T00:00:00Z"/>
        <d v="2015-02-12T00:00:00Z"/>
        <d v="2015-02-13T00:00:00Z"/>
        <d v="2015-02-14T00:00:00Z"/>
        <d v="2015-02-15T00:00:00Z"/>
        <d v="2015-02-16T00:00:00Z"/>
        <d v="2015-02-17T00:00:00Z"/>
        <d v="2015-02-18T00:00:00Z"/>
        <d v="2015-02-19T00:00:00Z"/>
        <d v="2015-02-20T00:00:00Z"/>
        <d v="2015-02-21T00:00:00Z"/>
        <d v="2015-02-22T00:00:00Z"/>
        <d v="2015-02-23T00:00:00Z"/>
        <d v="2015-02-24T00:00:00Z"/>
        <d v="2015-02-25T00:00:00Z"/>
        <d v="2015-02-26T00:00:00Z"/>
        <d v="2015-02-27T00:00:00Z"/>
        <d v="2015-02-28T00:00:00Z"/>
        <d v="2015-03-01T00:00:00Z"/>
        <d v="2015-03-02T00:00:00Z"/>
        <d v="2015-03-03T00:00:00Z"/>
        <d v="2015-03-04T00:00:00Z"/>
        <d v="2015-03-05T00:00:00Z"/>
        <d v="2015-03-06T00:00:00Z"/>
        <d v="2015-03-07T00:00:00Z"/>
        <d v="2015-03-08T00:00:00Z"/>
        <d v="2015-03-09T00:00:00Z"/>
        <d v="2015-03-10T00:00:00Z"/>
        <d v="2015-03-11T00:00:00Z"/>
        <d v="2015-03-12T00:00:00Z"/>
        <d v="2015-03-13T00:00:00Z"/>
        <d v="2015-03-14T00:00:00Z"/>
        <d v="2015-03-15T00:00:00Z"/>
        <d v="2015-03-16T00:00:00Z"/>
        <d v="2015-03-17T00:00:00Z"/>
        <d v="2015-03-18T00:00:00Z"/>
        <d v="2015-03-19T00:00:00Z"/>
        <d v="2015-03-20T00:00:00Z"/>
        <d v="2015-03-21T00:00:00Z"/>
        <d v="2015-03-22T00:00:00Z"/>
        <d v="2015-03-23T00:00:00Z"/>
        <d v="2015-03-24T00:00:00Z"/>
        <d v="2015-03-25T00:00:00Z"/>
        <d v="2015-03-26T00:00:00Z"/>
        <d v="2015-03-27T00:00:00Z"/>
        <d v="2015-03-28T00:00:00Z"/>
        <d v="2015-03-29T00:00:00Z"/>
        <d v="2015-03-30T00:00:00Z"/>
        <d v="2015-03-31T00:00:00Z"/>
        <d v="2015-04-01T00:00:00Z"/>
        <d v="2015-04-02T00:00:00Z"/>
        <d v="2015-04-03T00:00:00Z"/>
        <d v="2015-04-04T00:00:00Z"/>
        <d v="2015-04-05T00:00:00Z"/>
        <d v="2015-04-06T00:00:00Z"/>
        <d v="2015-04-07T00:00:00Z"/>
        <d v="2015-04-08T00:00:00Z"/>
        <d v="2015-04-09T00:00:00Z"/>
        <d v="2015-04-10T00:00:00Z"/>
        <d v="2015-04-11T00:00:00Z"/>
        <d v="2015-04-12T00:00:00Z"/>
        <d v="2015-04-13T00:00:00Z"/>
        <d v="2015-04-14T00:00:00Z"/>
        <d v="2015-04-15T00:00:00Z"/>
        <d v="2015-04-16T00:00:00Z"/>
        <d v="2015-04-17T00:00:00Z"/>
        <d v="2015-04-18T00:00:00Z"/>
        <d v="2015-04-19T00:00:00Z"/>
        <d v="2015-04-20T00:00:00Z"/>
        <d v="2015-04-21T00:00:00Z"/>
        <d v="2015-04-22T00:00:00Z"/>
        <d v="2015-04-23T00:00:00Z"/>
        <d v="2015-04-24T00:00:00Z"/>
        <d v="2015-04-25T00:00:00Z"/>
        <d v="2015-04-26T00:00:00Z"/>
        <d v="2015-04-27T00:00:00Z"/>
        <d v="2015-04-28T00:00:00Z"/>
        <d v="2015-04-29T00:00:00Z"/>
        <d v="2015-04-30T00:00:00Z"/>
        <d v="2015-05-01T00:00:00Z"/>
        <d v="2015-05-02T00:00:00Z"/>
        <d v="2015-05-03T00:00:00Z"/>
        <d v="2015-05-04T00:00:00Z"/>
        <d v="2015-05-05T00:00:00Z"/>
        <d v="2015-05-06T00:00:00Z"/>
        <d v="2015-05-07T00:00:00Z"/>
        <d v="2015-05-08T00:00:00Z"/>
        <d v="2015-05-09T00:00:00Z"/>
        <d v="2015-05-10T00:00:00Z"/>
        <d v="2015-05-11T00:00:00Z"/>
        <d v="2015-05-12T00:00:00Z"/>
        <d v="2015-05-13T00:00:00Z"/>
        <d v="2015-05-14T00:00:00Z"/>
        <d v="2015-05-15T00:00:00Z"/>
        <d v="2015-05-16T00:00:00Z"/>
        <d v="2015-05-17T00:00:00Z"/>
        <d v="2015-05-18T00:00:00Z"/>
        <d v="2015-05-19T00:00:00Z"/>
        <d v="2015-05-20T00:00:00Z"/>
        <d v="2015-05-21T00:00:00Z"/>
        <d v="2015-05-22T00:00:00Z"/>
        <d v="2015-05-23T00:00:00Z"/>
        <d v="2015-05-24T00:00:00Z"/>
        <d v="2015-05-25T00:00:00Z"/>
        <d v="2015-05-26T00:00:00Z"/>
        <d v="2015-05-27T00:00:00Z"/>
        <d v="2015-05-28T00:00:00Z"/>
        <d v="2015-05-29T00:00:00Z"/>
        <d v="2015-05-30T00:00:00Z"/>
        <d v="2015-05-31T00:00:00Z"/>
        <d v="2015-06-01T00:00:00Z"/>
        <d v="2015-06-02T00:00:00Z"/>
        <d v="2015-06-03T00:00:00Z"/>
        <d v="2015-06-04T00:00:00Z"/>
        <d v="2015-06-05T00:00:00Z"/>
        <d v="2015-06-06T00:00:00Z"/>
        <d v="2015-06-07T00:00:00Z"/>
        <d v="2015-06-08T00:00:00Z"/>
        <d v="2015-06-09T00:00:00Z"/>
        <d v="2015-06-10T00:00:00Z"/>
        <d v="2015-06-11T00:00:00Z"/>
        <d v="2015-06-12T00:00:00Z"/>
        <d v="2015-06-13T00:00:00Z"/>
        <d v="2015-06-14T00:00:00Z"/>
        <d v="2015-06-15T00:00:00Z"/>
        <d v="2015-06-16T00:00:00Z"/>
        <d v="2015-06-17T00:00:00Z"/>
        <d v="2015-06-18T00:00:00Z"/>
        <d v="2015-06-19T00:00:00Z"/>
        <d v="2015-06-20T00:00:00Z"/>
        <d v="2015-06-21T00:00:00Z"/>
        <d v="2015-06-22T00:00:00Z"/>
        <d v="2015-06-23T00:00:00Z"/>
        <d v="2015-06-24T00:00:00Z"/>
        <d v="2015-06-25T00:00:00Z"/>
        <d v="2015-06-26T00:00:00Z"/>
        <d v="2015-06-27T00:00:00Z"/>
        <d v="2015-06-28T00:00:00Z"/>
        <d v="2015-06-29T00:00:00Z"/>
        <d v="2015-06-30T00:00:00Z"/>
        <d v="2015-07-01T00:00:00Z"/>
        <d v="2015-07-02T00:00:00Z"/>
        <d v="2015-07-03T00:00:00Z"/>
        <d v="2015-07-04T00:00:00Z"/>
        <d v="2015-07-05T00:00:00Z"/>
        <d v="2015-07-06T00:00:00Z"/>
        <d v="2015-07-07T00:00:00Z"/>
        <d v="2015-07-08T00:00:00Z"/>
        <d v="2015-07-09T00:00:00Z"/>
        <d v="2015-07-10T00:00:00Z"/>
        <d v="2015-07-11T00:00:00Z"/>
        <d v="2015-07-12T00:00:00Z"/>
        <d v="2015-07-13T00:00:00Z"/>
        <d v="2015-07-14T00:00:00Z"/>
        <d v="2015-07-15T00:00:00Z"/>
        <d v="2015-07-16T00:00:00Z"/>
        <d v="2015-07-17T00:00:00Z"/>
        <d v="2015-07-18T00:00:00Z"/>
        <d v="2015-07-19T00:00:00Z"/>
        <d v="2015-07-20T00:00:00Z"/>
        <d v="2015-07-21T00:00:00Z"/>
        <d v="2015-07-22T00:00:00Z"/>
        <d v="2015-07-23T00:00:00Z"/>
        <d v="2015-07-24T00:00:00Z"/>
        <d v="2015-07-25T00:00:00Z"/>
        <d v="2015-07-26T00:00:00Z"/>
        <d v="2015-07-27T00:00:00Z"/>
        <d v="2015-07-28T00:00:00Z"/>
        <d v="2015-07-29T00:00:00Z"/>
        <d v="2015-07-30T00:00:00Z"/>
        <d v="2015-07-31T00:00:00Z"/>
        <d v="2015-08-01T00:00:00Z"/>
        <d v="2015-08-02T00:00:00Z"/>
        <d v="2015-08-03T00:00:00Z"/>
        <d v="2015-08-04T00:00:00Z"/>
        <d v="2015-08-05T00:00:00Z"/>
        <d v="2015-08-06T00:00:00Z"/>
        <d v="2015-08-07T00:00:00Z"/>
        <d v="2015-08-08T00:00:00Z"/>
        <d v="2015-08-09T00:00:00Z"/>
        <d v="2015-08-10T00:00:00Z"/>
        <d v="2015-08-11T00:00:00Z"/>
        <d v="2015-08-12T00:00:00Z"/>
        <d v="2015-08-13T00:00:00Z"/>
        <d v="2015-08-14T00:00:00Z"/>
        <d v="2015-08-15T00:00:00Z"/>
        <d v="2015-08-16T00:00:00Z"/>
        <d v="2015-08-17T00:00:00Z"/>
        <d v="2015-08-18T00:00:00Z"/>
        <d v="2015-08-19T00:00:00Z"/>
        <d v="2015-08-20T00:00:00Z"/>
        <d v="2015-08-21T00:00:00Z"/>
        <d v="2015-08-22T00:00:00Z"/>
        <d v="2015-08-23T00:00:00Z"/>
        <d v="2015-08-24T00:00:00Z"/>
        <d v="2015-08-25T00:00:00Z"/>
        <d v="2015-08-26T00:00:00Z"/>
        <d v="2015-08-27T00:00:00Z"/>
        <d v="2015-08-28T00:00:00Z"/>
        <d v="2015-08-29T00:00:00Z"/>
        <d v="2015-08-30T00:00:00Z"/>
        <d v="2015-08-31T00:00:00Z"/>
        <d v="2015-09-01T00:00:00Z"/>
        <d v="2015-09-02T00:00:00Z"/>
        <d v="2015-09-03T00:00:00Z"/>
        <d v="2015-09-04T00:00:00Z"/>
        <d v="2015-09-05T00:00:00Z"/>
        <d v="2015-09-06T00:00:00Z"/>
        <d v="2015-09-07T00:00:00Z"/>
        <d v="2015-09-08T00:00:00Z"/>
        <d v="2015-09-09T00:00:00Z"/>
        <d v="2015-09-10T00:00:00Z"/>
        <d v="2015-09-11T00:00:00Z"/>
        <d v="2015-09-12T00:00:00Z"/>
        <d v="2015-09-13T00:00:00Z"/>
        <d v="2015-09-14T00:00:00Z"/>
        <d v="2015-09-15T00:00:00Z"/>
        <d v="2015-09-16T00:00:00Z"/>
        <d v="2015-09-17T00:00:00Z"/>
        <d v="2015-09-18T00:00:00Z"/>
        <d v="2015-09-19T00:00:00Z"/>
        <d v="2015-09-20T00:00:00Z"/>
        <d v="2015-09-21T00:00:00Z"/>
        <d v="2015-09-22T00:00:00Z"/>
        <d v="2015-09-23T00:00:00Z"/>
        <d v="2015-09-24T00:00:00Z"/>
        <d v="2015-09-25T00:00:00Z"/>
        <d v="2015-09-26T00:00:00Z"/>
        <d v="2015-09-27T00:00:00Z"/>
        <d v="2015-09-28T00:00:00Z"/>
        <d v="2015-09-29T00:00:00Z"/>
        <d v="2015-09-30T00:00:00Z"/>
        <d v="2015-10-01T00:00:00Z"/>
        <d v="2015-10-02T00:00:00Z"/>
        <d v="2015-10-03T00:00:00Z"/>
        <d v="2015-10-04T00:00:00Z"/>
        <d v="2015-10-05T00:00:00Z"/>
        <d v="2015-10-06T00:00:00Z"/>
        <d v="2015-10-07T00:00:00Z"/>
        <d v="2015-10-08T00:00:00Z"/>
        <d v="2015-10-09T00:00:00Z"/>
        <d v="2015-10-10T00:00:00Z"/>
        <d v="2015-10-11T00:00:00Z"/>
        <d v="2015-10-12T00:00:00Z"/>
        <d v="2015-10-13T00:00:00Z"/>
        <d v="2015-10-14T00:00:00Z"/>
        <d v="2015-10-15T00:00:00Z"/>
        <d v="2015-10-16T00:00:00Z"/>
        <d v="2015-10-17T00:00:00Z"/>
        <d v="2015-10-18T00:00:00Z"/>
        <d v="2015-10-19T00:00:00Z"/>
        <d v="2015-10-20T00:00:00Z"/>
        <d v="2015-10-21T00:00:00Z"/>
        <d v="2015-10-22T00:00:00Z"/>
        <d v="2015-10-23T00:00:00Z"/>
        <d v="2015-10-24T00:00:00Z"/>
        <d v="2015-10-25T00:00:00Z"/>
        <d v="2015-10-26T00:00:00Z"/>
        <d v="2015-10-27T00:00:00Z"/>
        <d v="2015-10-28T00:00:00Z"/>
        <d v="2015-10-29T00:00:00Z"/>
        <d v="2015-10-30T00:00:00Z"/>
        <d v="2015-10-31T00:00:00Z"/>
        <d v="2015-11-01T00:00:00Z"/>
        <d v="2015-11-02T00:00:00Z"/>
        <d v="2015-11-03T00:00:00Z"/>
        <d v="2015-11-04T00:00:00Z"/>
        <d v="2015-11-05T00:00:00Z"/>
        <d v="2015-11-06T00:00:00Z"/>
        <d v="2015-11-07T00:00:00Z"/>
        <d v="2015-11-08T00:00:00Z"/>
        <d v="2015-11-09T00:00:00Z"/>
        <d v="2015-11-10T00:00:00Z"/>
        <d v="2015-11-11T00:00:00Z"/>
        <d v="2015-11-12T00:00:00Z"/>
        <d v="2015-11-13T00:00:00Z"/>
        <d v="2015-11-14T00:00:00Z"/>
        <d v="2015-11-15T00:00:00Z"/>
        <d v="2015-11-16T00:00:00Z"/>
        <d v="2015-11-17T00:00:00Z"/>
        <d v="2015-11-18T00:00:00Z"/>
        <d v="2015-11-19T00:00:00Z"/>
        <d v="2015-11-20T00:00:00Z"/>
        <d v="2015-11-21T00:00:00Z"/>
        <d v="2015-11-22T00:00:00Z"/>
        <d v="2015-11-23T00:00:00Z"/>
        <d v="2015-11-24T00:00:00Z"/>
        <d v="2015-11-25T00:00:00Z"/>
        <d v="2015-11-26T00:00:00Z"/>
        <d v="2015-11-27T00:00:00Z"/>
        <d v="2015-11-28T00:00:00Z"/>
        <d v="2015-11-29T00:00:00Z"/>
        <d v="2015-11-30T00:00:00Z"/>
        <d v="2015-12-01T00:00:00Z"/>
        <d v="2015-12-02T00:00:00Z"/>
        <d v="2015-12-03T00:00:00Z"/>
        <d v="2015-12-04T00:00:00Z"/>
        <d v="2015-12-05T00:00:00Z"/>
        <d v="2015-12-06T00:00:00Z"/>
        <d v="2015-12-07T00:00:00Z"/>
        <d v="2015-12-08T00:00:00Z"/>
        <d v="2015-12-09T00:00:00Z"/>
        <d v="2015-12-10T00:00:00Z"/>
        <d v="2015-12-11T00:00:00Z"/>
        <d v="2015-12-12T00:00:00Z"/>
        <d v="2015-12-13T00:00:00Z"/>
        <d v="2015-12-14T00:00:00Z"/>
        <d v="2015-12-15T00:00:00Z"/>
        <d v="2015-12-16T00:00:00Z"/>
        <d v="2015-12-17T00:00:00Z"/>
        <d v="2015-12-18T00:00:00Z"/>
        <d v="2015-12-19T00:00:00Z"/>
        <d v="2015-12-20T00:00:00Z"/>
        <d v="2015-12-21T00:00:00Z"/>
        <d v="2015-12-22T00:00:00Z"/>
        <d v="2015-12-23T00:00:00Z"/>
        <d v="2015-12-24T00:00:00Z"/>
        <d v="2015-12-25T00:00:00Z"/>
        <d v="2015-12-26T00:00:00Z"/>
        <d v="2015-12-27T00:00:00Z"/>
        <d v="2015-12-28T00:00:00Z"/>
        <d v="2015-12-29T00:00:00Z"/>
        <d v="2015-12-30T00:00:00Z"/>
        <d v="2015-12-31T00:00:00Z"/>
        <d v="2016-01-01T00:00:00Z"/>
        <d v="2016-01-02T00:00:00Z"/>
        <d v="2016-01-03T00:00:00Z"/>
        <d v="2016-01-04T00:00:00Z"/>
        <d v="2016-01-05T00:00:00Z"/>
        <d v="2016-01-06T00:00:00Z"/>
        <d v="2016-01-07T00:00:00Z"/>
        <d v="2016-01-08T00:00:00Z"/>
        <d v="2016-01-09T00:00:00Z"/>
        <d v="2016-01-10T00:00:00Z"/>
        <d v="2016-01-11T00:00:00Z"/>
        <d v="2016-01-12T00:00:00Z"/>
        <d v="2016-01-13T00:00:00Z"/>
        <d v="2016-01-14T00:00:00Z"/>
        <d v="2016-01-15T00:00:00Z"/>
        <d v="2016-01-16T00:00:00Z"/>
        <d v="2016-01-17T00:00:00Z"/>
        <d v="2016-01-18T00:00:00Z"/>
        <d v="2016-01-19T00:00:00Z"/>
        <d v="2016-01-20T00:00:00Z"/>
        <d v="2016-01-21T00:00:00Z"/>
        <d v="2016-01-22T00:00:00Z"/>
        <d v="2016-01-23T00:00:00Z"/>
        <d v="2016-01-24T00:00:00Z"/>
        <d v="2016-01-25T00:00:00Z"/>
        <d v="2016-01-26T00:00:00Z"/>
        <d v="2016-01-27T00:00:00Z"/>
        <d v="2016-01-28T00:00:00Z"/>
        <d v="2016-01-29T00:00:00Z"/>
        <d v="2016-01-30T00:00:00Z"/>
        <d v="2016-01-31T00:00:00Z"/>
        <d v="2016-02-01T00:00:00Z"/>
        <d v="2016-02-02T00:00:00Z"/>
        <d v="2016-02-03T00:00:00Z"/>
        <d v="2016-02-04T00:00:00Z"/>
        <d v="2016-02-05T00:00:00Z"/>
        <d v="2016-02-06T00:00:00Z"/>
        <d v="2016-02-07T00:00:00Z"/>
        <d v="2016-02-08T00:00:00Z"/>
        <d v="2016-02-09T00:00:00Z"/>
        <d v="2016-02-10T00:00:00Z"/>
        <d v="2016-02-11T00:00:00Z"/>
        <d v="2016-02-12T00:00:00Z"/>
        <d v="2016-02-13T00:00:00Z"/>
        <d v="2016-02-14T00:00:00Z"/>
        <d v="2016-02-15T00:00:00Z"/>
        <d v="2016-02-16T00:00:00Z"/>
        <d v="2016-02-17T00:00:00Z"/>
        <d v="2016-02-18T00:00:00Z"/>
        <d v="2016-02-19T00:00:00Z"/>
        <d v="2016-02-20T00:00:00Z"/>
        <d v="2016-02-21T00:00:00Z"/>
        <d v="2016-02-22T00:00:00Z"/>
        <d v="2016-02-23T00:00:00Z"/>
        <d v="2016-02-24T00:00:00Z"/>
        <d v="2016-02-25T00:00:00Z"/>
        <d v="2016-02-26T00:00:00Z"/>
        <d v="2016-02-27T00:00:00Z"/>
        <d v="2016-02-28T00:00:00Z"/>
        <d v="2016-02-29T00:00:00Z"/>
        <d v="2016-03-01T00:00:00Z"/>
        <d v="2016-03-02T00:00:00Z"/>
        <d v="2016-03-03T00:00:00Z"/>
        <d v="2016-03-04T00:00:00Z"/>
        <d v="2016-03-05T00:00:00Z"/>
        <d v="2016-03-06T00:00:00Z"/>
        <d v="2016-03-07T00:00:00Z"/>
        <d v="2016-03-08T00:00:00Z"/>
        <d v="2016-03-09T00:00:00Z"/>
        <d v="2016-03-10T00:00:00Z"/>
        <d v="2016-03-11T00:00:00Z"/>
        <d v="2016-03-12T00:00:00Z"/>
        <d v="2016-03-13T00:00:00Z"/>
        <d v="2016-03-14T00:00:00Z"/>
        <d v="2016-03-15T00:00:00Z"/>
        <d v="2016-03-16T00:00:00Z"/>
        <d v="2016-03-17T00:00:00Z"/>
        <d v="2016-03-18T00:00:00Z"/>
        <d v="2016-03-19T00:00:00Z"/>
        <d v="2016-03-20T00:00:00Z"/>
        <d v="2016-03-21T00:00:00Z"/>
        <d v="2016-03-22T00:00:00Z"/>
        <d v="2016-03-23T00:00:00Z"/>
        <d v="2016-03-24T00:00:00Z"/>
        <d v="2016-03-25T00:00:00Z"/>
        <d v="2016-03-26T00:00:00Z"/>
        <d v="2016-03-27T00:00:00Z"/>
        <d v="2016-03-28T00:00:00Z"/>
        <d v="2016-03-29T00:00:00Z"/>
        <d v="2016-03-30T00:00:00Z"/>
        <d v="2016-03-31T00:00:00Z"/>
        <d v="2016-04-01T00:00:00Z"/>
        <d v="2016-04-02T00:00:00Z"/>
        <d v="2016-04-03T00:00:00Z"/>
        <d v="2016-04-04T00:00:00Z"/>
        <d v="2016-04-05T00:00:00Z"/>
        <d v="2016-04-06T00:00:00Z"/>
        <d v="2016-04-07T00:00:00Z"/>
        <d v="2016-04-08T00:00:00Z"/>
        <d v="2016-04-09T00:00:00Z"/>
        <d v="2016-04-10T00:00:00Z"/>
        <d v="2016-04-11T00:00:00Z"/>
        <d v="2016-04-12T00:00:00Z"/>
        <d v="2016-04-13T00:00:00Z"/>
        <d v="2016-04-14T00:00:00Z"/>
        <d v="2016-04-15T00:00:00Z"/>
        <d v="2016-04-16T00:00:00Z"/>
        <d v="2016-04-17T00:00:00Z"/>
        <d v="2016-04-18T00:00:00Z"/>
        <d v="2016-04-19T00:00:00Z"/>
        <d v="2016-04-20T00:00:00Z"/>
        <d v="2016-04-21T00:00:00Z"/>
        <d v="2016-04-22T00:00:00Z"/>
        <d v="2016-04-23T00:00:00Z"/>
        <d v="2016-04-24T00:00:00Z"/>
        <d v="2016-04-25T00:00:00Z"/>
        <d v="2016-04-26T00:00:00Z"/>
        <d v="2016-04-27T00:00:00Z"/>
        <d v="2016-04-28T00:00:00Z"/>
        <d v="2016-04-29T00:00:00Z"/>
        <d v="2016-04-30T00:00:00Z"/>
        <d v="2016-05-01T00:00:00Z"/>
        <d v="2016-05-02T00:00:00Z"/>
        <d v="2016-05-03T00:00:00Z"/>
        <d v="2016-05-04T00:00:00Z"/>
        <d v="2016-05-05T00:00:00Z"/>
        <d v="2016-05-06T00:00:00Z"/>
        <d v="2016-05-07T00:00:00Z"/>
        <d v="2016-05-08T00:00:00Z"/>
        <d v="2016-05-09T00:00:00Z"/>
        <d v="2016-05-10T00:00:00Z"/>
        <d v="2016-05-11T00:00:00Z"/>
        <d v="2016-05-12T00:00:00Z"/>
        <d v="2016-05-13T00:00:00Z"/>
        <d v="2016-05-14T00:00:00Z"/>
        <d v="2016-05-15T00:00:00Z"/>
        <d v="2016-05-16T00:00:00Z"/>
        <d v="2016-05-17T00:00:00Z"/>
        <d v="2016-05-18T00:00:00Z"/>
        <d v="2016-05-19T00:00:00Z"/>
        <d v="2016-05-20T00:00:00Z"/>
        <d v="2016-05-21T00:00:00Z"/>
        <d v="2016-05-22T00:00:00Z"/>
        <d v="2016-05-23T00:00:00Z"/>
        <d v="2016-05-24T00:00:00Z"/>
        <d v="2016-05-25T00:00:00Z"/>
        <d v="2016-05-26T00:00:00Z"/>
        <d v="2016-05-27T00:00:00Z"/>
        <d v="2016-05-28T00:00:00Z"/>
        <d v="2016-05-29T00:00:00Z"/>
        <d v="2016-05-30T00:00:00Z"/>
        <d v="2016-05-31T00:00:00Z"/>
        <d v="2016-06-01T00:00:00Z"/>
        <d v="2016-06-02T00:00:00Z"/>
        <d v="2016-06-03T00:00:00Z"/>
        <d v="2016-06-04T00:00:00Z"/>
        <d v="2016-06-05T00:00:00Z"/>
        <d v="2016-06-06T00:00:00Z"/>
        <d v="2016-06-07T00:00:00Z"/>
        <d v="2016-06-08T00:00:00Z"/>
        <d v="2016-06-09T00:00:00Z"/>
        <d v="2016-06-10T00:00:00Z"/>
        <d v="2016-06-11T00:00:00Z"/>
        <d v="2016-06-12T00:00:00Z"/>
        <d v="2016-06-13T00:00:00Z"/>
        <d v="2016-06-14T00:00:00Z"/>
        <d v="2016-06-15T00:00:00Z"/>
        <d v="2016-06-16T00:00:00Z"/>
        <d v="2016-06-17T00:00:00Z"/>
        <d v="2016-06-18T00:00:00Z"/>
        <d v="2016-06-19T00:00:00Z"/>
        <d v="2016-06-20T00:00:00Z"/>
        <d v="2016-06-21T00:00:00Z"/>
        <d v="2016-06-22T00:00:00Z"/>
        <d v="2016-06-23T00:00:00Z"/>
        <d v="2016-06-24T00:00:00Z"/>
        <d v="2016-06-25T00:00:00Z"/>
        <d v="2016-06-26T00:00:00Z"/>
        <d v="2016-06-27T00:00:00Z"/>
        <d v="2016-06-28T00:00:00Z"/>
        <d v="2016-06-29T00:00:00Z"/>
        <d v="2016-06-30T00:00:00Z"/>
        <d v="2016-07-01T00:00:00Z"/>
        <d v="2016-07-02T00:00:00Z"/>
        <d v="2016-07-03T00:00:00Z"/>
        <d v="2016-07-04T00:00:00Z"/>
        <d v="2016-07-05T00:00:00Z"/>
        <d v="2016-07-06T00:00:00Z"/>
        <d v="2016-07-07T00:00:00Z"/>
        <d v="2016-07-08T00:00:00Z"/>
        <d v="2016-07-09T00:00:00Z"/>
        <d v="2016-07-10T00:00:00Z"/>
        <d v="2016-07-11T00:00:00Z"/>
        <d v="2016-07-12T00:00:00Z"/>
        <d v="2016-07-13T00:00:00Z"/>
        <d v="2016-07-14T00:00:00Z"/>
        <d v="2016-07-15T00:00:00Z"/>
        <d v="2016-07-16T00:00:00Z"/>
        <d v="2016-07-17T00:00:00Z"/>
        <d v="2016-07-18T00:00:00Z"/>
        <d v="2016-07-19T00:00:00Z"/>
        <d v="2016-07-20T00:00:00Z"/>
        <d v="2016-07-21T00:00:00Z"/>
        <d v="2016-07-22T00:00:00Z"/>
        <d v="2016-07-23T00:00:00Z"/>
        <d v="2016-07-24T00:00:00Z"/>
        <d v="2016-07-25T00:00:00Z"/>
        <d v="2016-07-26T00:00:00Z"/>
        <d v="2016-07-27T00:00:00Z"/>
        <d v="2016-07-28T00:00:00Z"/>
        <d v="2016-07-29T00:00:00Z"/>
        <d v="2016-07-30T00:00:00Z"/>
        <d v="2016-07-31T00:00:00Z"/>
        <d v="2016-08-01T00:00:00Z"/>
        <d v="2016-08-02T00:00:00Z"/>
        <d v="2016-08-03T00:00:00Z"/>
        <d v="2016-08-04T00:00:00Z"/>
        <d v="2016-08-05T00:00:00Z"/>
        <d v="2016-08-06T00:00:00Z"/>
        <d v="2016-08-07T00:00:00Z"/>
        <d v="2016-08-08T00:00:00Z"/>
        <d v="2016-08-09T00:00:00Z"/>
        <d v="2016-08-10T00:00:00Z"/>
        <d v="2016-08-11T00:00:00Z"/>
        <d v="2016-08-12T00:00:00Z"/>
        <d v="2016-08-13T00:00:00Z"/>
        <d v="2016-08-14T00:00:00Z"/>
        <d v="2016-08-15T00:00:00Z"/>
        <d v="2016-08-16T00:00:00Z"/>
        <d v="2016-08-17T00:00:00Z"/>
        <d v="2016-08-18T00:00:00Z"/>
        <d v="2016-08-19T00:00:00Z"/>
        <d v="2016-08-20T00:00:00Z"/>
        <d v="2016-08-21T00:00:00Z"/>
        <d v="2016-08-22T00:00:00Z"/>
        <d v="2016-08-23T00:00:00Z"/>
        <d v="2016-08-24T00:00:00Z"/>
        <d v="2016-08-25T00:00:00Z"/>
        <d v="2016-08-26T00:00:00Z"/>
        <d v="2016-08-27T00:00:00Z"/>
        <d v="2016-08-28T00:00:00Z"/>
        <d v="2016-08-29T00:00:00Z"/>
        <d v="2016-08-30T00:00:00Z"/>
        <d v="2016-08-31T00:00:00Z"/>
        <d v="2016-09-01T00:00:00Z"/>
        <d v="2016-09-02T00:00:00Z"/>
        <d v="2016-09-03T00:00:00Z"/>
        <d v="2016-09-04T00:00:00Z"/>
        <d v="2016-09-05T00:00:00Z"/>
        <d v="2016-09-06T00:00:00Z"/>
        <d v="2016-09-07T00:00:00Z"/>
        <d v="2016-09-08T00:00:00Z"/>
        <d v="2016-09-09T00:00:00Z"/>
        <d v="2016-09-10T00:00:00Z"/>
        <d v="2016-09-11T00:00:00Z"/>
        <d v="2016-09-12T00:00:00Z"/>
        <d v="2016-09-13T00:00:00Z"/>
        <d v="2016-09-14T00:00:00Z"/>
        <d v="2016-09-15T00:00:00Z"/>
        <d v="2016-09-16T00:00:00Z"/>
        <d v="2016-09-17T00:00:00Z"/>
        <d v="2016-09-18T00:00:00Z"/>
        <d v="2016-09-19T00:00:00Z"/>
        <d v="2016-09-20T00:00:00Z"/>
        <d v="2016-09-21T00:00:00Z"/>
        <d v="2016-09-22T00:00:00Z"/>
        <d v="2016-09-23T00:00:00Z"/>
        <d v="2016-09-24T00:00:00Z"/>
        <d v="2016-09-25T00:00:00Z"/>
        <d v="2016-09-26T00:00:00Z"/>
        <d v="2016-09-27T00:00:00Z"/>
        <d v="2016-09-28T00:00:00Z"/>
        <d v="2016-09-29T00:00:00Z"/>
        <d v="2016-09-30T00:00:00Z"/>
        <d v="2016-10-01T00:00:00Z"/>
        <d v="2016-10-02T00:00:00Z"/>
        <d v="2016-10-03T00:00:00Z"/>
        <d v="2016-10-04T00:00:00Z"/>
        <d v="2016-10-05T00:00:00Z"/>
        <d v="2016-10-06T00:00:00Z"/>
        <d v="2016-10-07T00:00:00Z"/>
        <d v="2016-10-08T00:00:00Z"/>
        <d v="2016-10-09T00:00:00Z"/>
        <d v="2016-10-10T00:00:00Z"/>
        <d v="2016-10-11T00:00:00Z"/>
        <d v="2016-10-12T00:00:00Z"/>
        <d v="2016-10-13T00:00:00Z"/>
        <d v="2016-10-14T00:00:00Z"/>
        <d v="2016-10-15T00:00:00Z"/>
        <d v="2016-10-16T00:00:00Z"/>
        <d v="2016-10-17T00:00:00Z"/>
        <d v="2016-10-18T00:00:00Z"/>
        <d v="2016-10-19T00:00:00Z"/>
        <d v="2016-10-20T00:00:00Z"/>
        <d v="2016-10-21T00:00:00Z"/>
        <d v="2016-10-22T00:00:00Z"/>
        <d v="2016-10-23T00:00:00Z"/>
        <d v="2016-10-24T00:00:00Z"/>
        <d v="2016-10-25T00:00:00Z"/>
        <d v="2016-10-26T00:00:00Z"/>
        <d v="2016-10-27T00:00:00Z"/>
        <d v="2016-10-28T00:00:00Z"/>
        <d v="2016-10-29T00:00:00Z"/>
        <d v="2016-10-30T00:00:00Z"/>
        <d v="2016-10-31T00:00:00Z"/>
        <d v="2016-11-01T00:00:00Z"/>
        <d v="2016-11-02T00:00:00Z"/>
        <d v="2016-11-03T00:00:00Z"/>
        <d v="2016-11-04T00:00:00Z"/>
        <d v="2016-11-05T00:00:00Z"/>
        <d v="2016-11-06T00:00:00Z"/>
        <d v="2016-11-07T00:00:00Z"/>
        <d v="2016-11-08T00:00:00Z"/>
        <d v="2016-11-09T00:00:00Z"/>
        <d v="2016-11-10T00:00:00Z"/>
        <d v="2016-11-11T00:00:00Z"/>
        <d v="2016-11-12T00:00:00Z"/>
        <d v="2016-11-13T00:00:00Z"/>
        <d v="2016-11-14T00:00:00Z"/>
        <d v="2016-11-15T00:00:00Z"/>
        <d v="2016-11-16T00:00:00Z"/>
      </sharedItems>
    </cacheField>
    <cacheField name="Year" numFmtId="0">
      <sharedItems containsSemiMixedTypes="0" containsString="0" containsNumber="1" containsInteger="1">
        <n v="2013.0"/>
        <n v="2014.0"/>
        <n v="2015.0"/>
        <n v="2016.0"/>
      </sharedItems>
    </cacheField>
    <cacheField name="Month" numFmtId="0">
      <sharedItems containsSemiMixedTypes="0" containsString="0" containsNumber="1" containsInteger="1">
        <n v="12.0"/>
        <n v="1.0"/>
        <n v="2.0"/>
        <n v="3.0"/>
        <n v="4.0"/>
        <n v="5.0"/>
        <n v="6.0"/>
        <n v="7.0"/>
        <n v="8.0"/>
        <n v="9.0"/>
        <n v="10.0"/>
        <n v="11.0"/>
      </sharedItems>
    </cacheField>
    <cacheField name="Month_Name" numFmtId="0">
      <sharedItems>
        <s v="December"/>
        <s v="January"/>
        <s v="February"/>
        <s v="March"/>
        <s v="April"/>
        <s v="May"/>
        <s v="June"/>
        <s v="July"/>
        <s v="August"/>
        <s v="September"/>
        <s v="October"/>
        <s v="November"/>
      </sharedItems>
    </cacheField>
    <cacheField name="Sales" numFmtId="0">
      <sharedItems containsSemiMixedTypes="0" containsString="0" containsNumber="1">
        <n v="223937.96786972653"/>
        <n v="300345.48456398566"/>
        <n v="86782.4677274178"/>
        <n v="200173.11675267716"/>
        <n v="326906.07417633064"/>
        <n v="307043.9354221619"/>
        <n v="179188.88448780973"/>
        <n v="306351.9508589919"/>
        <n v="224020.40996847834"/>
        <n v="101836.4022362371"/>
        <n v="107804.30494723172"/>
        <n v="144829.95672393017"/>
        <n v="146571.48235324016"/>
        <n v="95422.3729783171"/>
        <n v="114883.17379115624"/>
        <n v="80090.80007989271"/>
        <n v="98945.37115907783"/>
        <n v="84904.90171410782"/>
        <n v="135460.61970398517"/>
        <n v="149925.74968577514"/>
        <n v="74297.30718418294"/>
        <n v="83356.4245612027"/>
        <n v="89922.01428617258"/>
        <n v="57806.30278009904"/>
        <n v="63977.75034892355"/>
        <n v="116958.79984795197"/>
        <n v="155272.82480548017"/>
        <n v="82885.21590976272"/>
        <n v="72353.4258824533"/>
        <n v="50415.903762389156"/>
        <n v="67458.30189127379"/>
        <n v="64640.3693131938"/>
        <n v="137693.8735003314"/>
        <n v="181209.1284812126"/>
        <n v="113433.58104545697"/>
        <n v="143192.53335617637"/>
        <n v="130126.64989288137"/>
        <n v="187155.86854573974"/>
        <n v="102314.70959650404"/>
        <n v="301553.8425550869"/>
        <n v="316073.1775493943"/>
        <n v="135178.0425545823"/>
        <n v="147727.5161863135"/>
        <n v="135498.74644438608"/>
        <n v="163432.8452052823"/>
        <n v="138291.63332158606"/>
        <n v="336901.37170009944"/>
        <n v="367729.26821441203"/>
        <n v="133913.8413873911"/>
        <n v="150800.3470166623"/>
        <n v="55591.93033577391"/>
        <n v="106427.191838824"/>
        <n v="78940.55442479794"/>
        <n v="317916.3178585343"/>
        <n v="309217.8755625262"/>
        <n v="138491.5499504623"/>
        <n v="133146.22220523606"/>
        <n v="224994.65618289215"/>
        <n v="225051.59146803216"/>
        <n v="344299.68244113005"/>
        <n v="661876.4999996495"/>
        <n v="846678.388160804"/>
        <n v="478902.30487182323"/>
        <n v="538827.2021325426"/>
        <n v="310346.1212875447"/>
        <n v="256390.52221047232"/>
        <n v="167803.65977609382"/>
        <n v="465318.02151156624"/>
        <n v="520146.74963959056"/>
        <n v="224699.25281941216"/>
        <n v="286230.6788963384"/>
        <n v="187143.0180625835"/>
        <n v="191700.3891282347"/>
        <n v="164663.9676028023"/>
        <n v="395941.3451321622"/>
        <n v="518183.2103749144"/>
        <n v="226617.95494027078"/>
        <n v="243707.871947377"/>
        <n v="94849.7437997705"/>
        <n v="92386.78306657562"/>
        <n v="180394.82770444016"/>
        <n v="200939.69236394396"/>
        <n v="172953.92471044016"/>
        <n v="70194.79953786121"/>
        <n v="81378.21463167097"/>
        <n v="130227.01471457879"/>
        <n v="125310.0364078538"/>
        <n v="119452.33963454989"/>
        <n v="276174.76932028367"/>
        <n v="357369.2669406512"/>
        <n v="163865.4902727038"/>
        <n v="190719.6145286"/>
        <n v="244535.20522546367"/>
        <n v="155620.50378882745"/>
        <n v="136001.97816007744"/>
        <n v="190559.88751276743"/>
        <n v="217110.50252912124"/>
        <n v="119190.09998255635"/>
        <n v="131910.19745153244"/>
        <n v="118921.30767625879"/>
        <n v="124828.28283680881"/>
        <n v="179326.49022809637"/>
        <n v="318949.81705616"/>
        <n v="375031.109322689"/>
        <n v="166393.54070527272"/>
        <n v="193652.32776782895"/>
        <n v="249805.51721349137"/>
        <n v="294023.41088805016"/>
        <n v="612236.0057972377"/>
        <n v="464815.51786854694"/>
        <n v="360480.94044953777"/>
        <n v="114279.57725376953"/>
        <n v="161170.82040273017"/>
        <n v="182483.14649530518"/>
        <n v="109358.41252901952"/>
        <n v="98430.1141092905"/>
        <n v="295741.3469618826"/>
        <n v="285053.9799331276"/>
        <n v="124964.7964680588"/>
        <n v="124175.8083521588"/>
        <n v="131842.57163224378"/>
        <n v="154850.05725768136"/>
        <n v="180294.26873002757"/>
        <n v="163849.03582968138"/>
        <n v="131436.79244744137"/>
        <n v="93082.04395689281"/>
        <n v="110887.01329721222"/>
        <n v="119385.57536795686"/>
        <n v="91719.58937883745"/>
        <n v="96335.44895138746"/>
        <n v="303226.29835425445"/>
        <n v="431695.70916738006"/>
        <n v="200407.27706754216"/>
        <n v="183413.70834773596"/>
        <n v="146166.6011247823"/>
        <n v="201120.72764081473"/>
        <n v="270123.5508233284"/>
        <n v="415315.38394824736"/>
        <n v="498716.9975550141"/>
        <n v="166433.17212925974"/>
        <n v="168520.6293674285"/>
        <n v="178123.53210953472"/>
        <n v="194878.80263463093"/>
        <n v="115475.09689625975"/>
        <n v="430521.02453865507"/>
        <n v="590642.8256606437"/>
        <n v="210764.71795229093"/>
        <n v="218189.34852144716"/>
        <n v="226132.46392936216"/>
        <n v="243720.86804506715"/>
        <n v="207429.42904813593"/>
        <n v="503149.4313453478"/>
        <n v="603748.7895260763"/>
        <n v="456017.4630926764"/>
        <n v="425845.1960447211"/>
        <n v="328217.769952647"/>
        <n v="286405.9988025032"/>
        <n v="184989.88866687592"/>
        <n v="288118.3044474556"/>
        <n v="391930.8780096609"/>
        <n v="193772.58110879714"/>
        <n v="214177.98344261837"/>
        <n v="188334.52117067974"/>
        <n v="174324.99481545974"/>
        <n v="200271.56431625973"/>
        <n v="468701.63017391367"/>
        <n v="473425.7541569488"/>
        <n v="224232.1213750946"/>
        <n v="185606.27501469472"/>
        <n v="212687.50941481217"/>
        <n v="184259.69242149973"/>
        <n v="113735.8161577795"/>
        <n v="203165.08297513984"/>
        <n v="203345.24456475486"/>
        <n v="134944.48896695639"/>
        <n v="138298.21024496638"/>
        <n v="36692.67986190049"/>
        <n v="56077.54269213074"/>
        <n v="55780.707452340735"/>
        <n v="131721.2383167888"/>
        <n v="146169.07657195258"/>
        <n v="62073.58541298098"/>
        <n v="93619.84699129574"/>
        <n v="180183.03135601137"/>
        <n v="104760.70623579"/>
        <n v="93450.5336849105"/>
        <n v="98087.55590394074"/>
        <n v="117562.26290534917"/>
        <n v="70153.08097215135"/>
        <n v="68918.41528749111"/>
        <n v="108417.40283335964"/>
        <n v="81802.6082085011"/>
        <n v="103998.55973343049"/>
        <n v="134018.08926347757"/>
        <n v="99277.29950301051"/>
        <n v="49705.23199992073"/>
        <n v="75384.57455073134"/>
        <n v="110288.23417419061"/>
        <n v="156536.68620542108"/>
        <n v="80823.05919792122"/>
        <n v="124615.6856084088"/>
        <n v="242758.9505283758"/>
        <n v="85078.24368943609"/>
        <n v="86738.06742726086"/>
        <n v="56673.61581162085"/>
        <n v="165742.17046423352"/>
        <n v="95618.24880371086"/>
        <n v="515698.7957661752"/>
        <n v="562590.3665478406"/>
        <n v="266305.92588997324"/>
        <n v="292634.7456928194"/>
        <n v="212360.99307795215"/>
        <n v="198019.33209153594"/>
        <n v="295508.3272942658"/>
        <n v="611894.6731809496"/>
        <n v="628685.218828356"/>
        <n v="307272.68372995686"/>
        <n v="362106.5326359408"/>
        <n v="262349.59097271576"/>
        <n v="80697.90350079122"/>
        <n v="103272.62271335037"/>
        <n v="439421.4220670738"/>
        <n v="408616.3506319135"/>
        <n v="195866.77301944338"/>
        <n v="232347.3531692896"/>
        <n v="190325.18114338472"/>
        <n v="197698.11855084094"/>
        <n v="177908.83560484851"/>
        <n v="473321.8824517537"/>
        <n v="541600.8921595308"/>
        <n v="239513.979042657"/>
        <n v="255224.22255235323"/>
        <n v="160372.03970902972"/>
        <n v="171587.33225254016"/>
        <n v="164208.06061259517"/>
        <n v="376778.83570449764"/>
        <n v="453633.473978322"/>
        <n v="214392.4008527526"/>
        <n v="316404.06232243"/>
        <n v="242824.50134045485"/>
        <n v="274712.2532841696"/>
        <n v="258066.16939498458"/>
        <n v="594007.2132037124"/>
        <n v="717096.7128183594"/>
        <n v="358170.996328817"/>
        <n v="594953.6349064388"/>
        <n v="469469.9410251276"/>
        <n v="464067.7993402126"/>
        <n v="312311.9539811907"/>
        <n v="501279.0004444809"/>
        <n v="552703.9037581525"/>
        <n v="234153.76221071577"/>
        <n v="244481.4977293058"/>
        <n v="122749.63527830881"/>
        <n v="78736.40283972122"/>
        <n v="70875.11066874111"/>
        <n v="148634.39140687516"/>
        <n v="171724.82878193396"/>
        <n v="86435.6988349511"/>
        <n v="120236.18270337001"/>
        <n v="83204.1966941811"/>
        <n v="73768.03473492098"/>
        <n v="69425.44511577097"/>
        <n v="137154.95408779135"/>
        <n v="153569.06188021015"/>
        <n v="75633.32058868634"/>
        <n v="90815.92981269087"/>
        <n v="110118.15639147014"/>
        <n v="209908.3831116397"/>
        <n v="358365.68296879344"/>
        <n v="585463.9960073602"/>
        <n v="617019.0915344206"/>
        <n v="283850.5971054995"/>
        <n v="264317.1103681058"/>
        <n v="358024.9813488259"/>
        <n v="594438.2807802997"/>
        <n v="470507.6630444389"/>
        <n v="518693.52866487246"/>
        <n v="656245.8284286658"/>
        <n v="280055.1177167632"/>
        <n v="375648.0174559537"/>
        <n v="78111.71646312073"/>
        <n v="70509.13279154037"/>
        <n v="103281.31104757206"/>
        <n v="179841.43177972364"/>
        <n v="138038.23975289488"/>
        <n v="61037.56222997037"/>
        <n v="86799.75945404172"/>
        <n v="69570.50146670073"/>
        <n v="130476.35534524244"/>
        <n v="95229.77348008122"/>
        <n v="121057.86128350305"/>
        <n v="169498.91638532488"/>
        <n v="90692.37587550195"/>
        <n v="101723.91500409231"/>
        <n v="103395.69126874243"/>
        <n v="99075.59909602182"/>
        <n v="97476.14471957207"/>
        <n v="248974.6527827964"/>
        <n v="302721.6833004003"/>
        <n v="128520.72780395366"/>
        <n v="145185.26833608488"/>
        <n v="89527.5566318617"/>
        <n v="81991.88284141109"/>
        <n v="69704.49111259049"/>
        <n v="166652.39481922364"/>
        <n v="247453.10218524758"/>
        <n v="148476.18120917486"/>
        <n v="205368.92263440124"/>
        <n v="99244.68184604915"/>
        <n v="72756.86310007049"/>
        <n v="86867.45808059514"/>
        <n v="140167.80386220515"/>
        <n v="160727.30278297895"/>
        <n v="74115.62877644549"/>
        <n v="76103.2915165355"/>
        <n v="56303.366574580374"/>
        <n v="49436.81586452037"/>
        <n v="55033.12240398037"/>
        <n v="149808.16594472638"/>
        <n v="180685.5107299103"/>
        <n v="75871.43676522048"/>
        <n v="86313.33408317012"/>
        <n v="62631.79875207037"/>
        <n v="48529.10336034025"/>
        <n v="51040.88136807025"/>
        <n v="53973.92224002"/>
        <n v="47497.98253350988"/>
        <n v="31219.951528719885"/>
        <n v="26870.323873470003"/>
        <n v="40530.64229268001"/>
        <n v="30371.43133504988"/>
        <n v="37776.65876674988"/>
        <n v="46818.20532261"/>
        <n v="88321.62554976073"/>
        <n v="101037.8278297916"/>
        <n v="105100.66764851147"/>
        <n v="88219.52548812989"/>
        <n v="71590.36928922037"/>
        <n v="54996.62169262025"/>
        <n v="77884.1816098255"/>
        <n v="150370.11672367636"/>
        <n v="104675.37611534917"/>
        <n v="90121.53047506476"/>
        <n v="75425.44369829049"/>
        <n v="161844.80943567367"/>
        <n v="158603.35696800365"/>
        <n v="279092.09595645015"/>
        <n v="369350.9894808982"/>
        <n v="177500.10772560866"/>
        <n v="282246.62867828755"/>
        <n v="166037.92572951366"/>
        <n v="148910.99836015864"/>
        <n v="202359.14289987122"/>
        <n v="274343.6543452338"/>
        <n v="316167.07465857273"/>
        <n v="173833.40012841366"/>
        <n v="204565.08183541152"/>
        <n v="316394.73085730925"/>
        <n v="486230.3201936276"/>
        <n v="137686.5321006064"/>
        <n v="48102.962409030246"/>
        <n v="110162.13198254806"/>
        <n v="69051.33709342037"/>
        <n v="133307.36896282758"/>
        <n v="216389.50426885503"/>
        <n v="365055.31201272184"/>
        <n v="112161.41961675305"/>
        <n v="271101.46167031274"/>
        <n v="245813.28831212397"/>
        <n v="178394.81199754868"/>
        <n v="220443.63148426503"/>
        <n v="181534.18867267863"/>
        <n v="83176.48139340024"/>
        <n v="76894.77934870537"/>
        <n v="123859.38795673757"/>
        <n v="120807.57415832733"/>
        <n v="69597.36734933038"/>
        <n v="84738.29441126013"/>
        <n v="64653.972138140365"/>
        <n v="59553.38603102025"/>
        <n v="79080.75695773037"/>
        <n v="149444.05678745394"/>
        <n v="170624.07993589152"/>
        <n v="74744.28314926049"/>
        <n v="90144.16140148976"/>
        <n v="97826.80880097904"/>
        <n v="62795.97914592037"/>
        <n v="66550.98982708037"/>
        <n v="154670.89070075392"/>
        <n v="158722.10562536394"/>
        <n v="78092.27692203049"/>
        <n v="91830.40204377988"/>
        <n v="76992.93568321048"/>
        <n v="59897.71587994037"/>
        <n v="57310.19404232036"/>
        <n v="134540.21446573758"/>
        <n v="200193.61199916032"/>
        <n v="171469.93052966276"/>
        <n v="151737.21883246515"/>
        <n v="102072.44340557892"/>
        <n v="82514.10512003038"/>
        <n v="46211.33245807025"/>
        <n v="85730.41481046013"/>
        <n v="105918.29329060845"/>
        <n v="73041.66087122049"/>
        <n v="97908.54709609867"/>
        <n v="138667.41591113637"/>
        <n v="162162.10351832397"/>
        <n v="138520.12680392637"/>
        <n v="358597.4285091585"/>
        <n v="424009.8825170612"/>
        <n v="203861.47237812544"/>
        <n v="220506.20933281546"/>
        <n v="139935.93697634517"/>
        <n v="161064.75234488395"/>
        <n v="144328.54518998516"/>
        <n v="293071.7591964033"/>
        <n v="267782.1539619082"/>
        <n v="136052.68842362516"/>
        <n v="86703.31409037916"/>
        <n v="95474.35736909964"/>
        <n v="198431.6275269815"/>
        <n v="157291.73399894516"/>
        <n v="307540.675156237"/>
        <n v="350898.7635102697"/>
        <n v="256701.5427333406"/>
        <n v="234705.59277910303"/>
        <n v="249380.56544757923"/>
        <n v="258211.4441676979"/>
        <n v="145975.83394282515"/>
        <n v="269239.8525836682"/>
        <n v="306920.21160129213"/>
        <n v="122106.79562238637"/>
        <n v="117661.28079254708"/>
        <n v="62499.79917156037"/>
        <n v="57063.98412427037"/>
        <n v="48008.48284166025"/>
        <n v="117446.8391133083"/>
        <n v="150591.54790083517"/>
        <n v="67152.47495364037"/>
        <n v="80635.28924859049"/>
        <n v="50669.63709834037"/>
        <n v="48648.99266494025"/>
        <n v="43213.177617650246"/>
        <n v="96881.0180945894"/>
        <n v="121360.88514123637"/>
        <n v="66954.36637197038"/>
        <n v="81342.15076393037"/>
        <n v="125060.70791173638"/>
        <n v="253218.83124198424"/>
        <n v="229184.47188046668"/>
        <n v="354191.35095056973"/>
        <n v="459484.66663548636"/>
        <n v="224102.88847081424"/>
        <n v="215203.5587823579"/>
        <n v="355534.912042067"/>
        <n v="498894.3439301564"/>
        <n v="715032.189870243"/>
        <n v="510289.2156051291"/>
        <n v="400302.03949241096"/>
        <n v="135578.2034450376"/>
        <n v="182466.25520866032"/>
        <n v="176814.2025694703"/>
        <n v="100917.67156519879"/>
        <n v="74690.6727294505"/>
        <n v="114067.07710172747"/>
        <n v="126507.80094116637"/>
        <n v="79648.6293946405"/>
        <n v="83137.43242759025"/>
        <n v="40776.02706167025"/>
        <n v="58278.45792605037"/>
        <n v="50000.101443420244"/>
        <n v="103911.9190821282"/>
        <n v="132843.22261657636"/>
        <n v="62786.61127718"/>
        <n v="57233.40664156013"/>
        <n v="56874.34545501001"/>
        <n v="132737.73701689864"/>
        <n v="60310.33894812001"/>
        <n v="343587.0084787192"/>
        <n v="496882.31502370274"/>
        <n v="200369.82986166124"/>
        <n v="194028.06181921624"/>
        <n v="190560.57918183244"/>
        <n v="198985.39962261243"/>
        <n v="385482.8720257082"/>
        <n v="499703.41471803014"/>
        <n v="461667.00388101256"/>
        <n v="259541.60872151394"/>
        <n v="320309.2744015867"/>
        <n v="239922.99815095018"/>
        <n v="224994.19507015543"/>
        <n v="117197.97172990369"/>
        <n v="330589.1998128597"/>
        <n v="389972.11975571"/>
        <n v="166536.00026357028"/>
        <n v="198442.9126538279"/>
        <n v="193182.15055271276"/>
        <n v="166403.12699582273"/>
        <n v="149178.60148103395"/>
        <n v="380592.57758342725"/>
        <n v="413700.1789323412"/>
        <n v="177159.67306561908"/>
        <n v="196420.7635368479"/>
        <n v="137940.87216380518"/>
        <n v="166176.28381159273"/>
        <n v="84604.37757263916"/>
        <n v="321821.02028676093"/>
        <n v="418715.41064993"/>
        <n v="169541.26594736153"/>
        <n v="256434.50993607426"/>
        <n v="199385.9124148703"/>
        <n v="243554.22433855545"/>
        <n v="217746.01291984666"/>
        <n v="472160.7521097488"/>
        <n v="546135.462415099"/>
        <n v="264637.3652797106"/>
        <n v="440905.99870597"/>
        <n v="334318.8978331521"/>
        <n v="269835.828626803"/>
        <n v="201146.4892798303"/>
        <n v="293461.08393818577"/>
        <n v="349413.00982046727"/>
        <n v="179602.9151631903"/>
        <n v="109810.54567571807"/>
        <n v="76956.92035364964"/>
        <n v="71199.58840203952"/>
        <n v="68988.34667032477"/>
        <n v="155156.87922800638"/>
        <n v="185109.52314601393"/>
        <n v="83779.54401080892"/>
        <n v="149501.57453075759"/>
        <n v="100477.29679260367"/>
        <n v="89072.70534707917"/>
        <n v="78746.59585751953"/>
        <n v="141913.38242954636"/>
        <n v="169304.27828351516"/>
        <n v="89512.24283606843"/>
        <n v="85984.07533913916"/>
        <n v="64956.46207589964"/>
        <n v="106613.43283547854"/>
        <n v="183843.81729524274"/>
        <n v="319579.7940943557"/>
        <n v="369245.7587066497"/>
        <n v="185648.49109673031"/>
        <n v="165557.76178385274"/>
        <n v="212465.0832049415"/>
        <n v="305231.90808635816"/>
        <n v="250481.61765724423"/>
        <n v="268410.4807020094"/>
        <n v="316365.4987383921"/>
        <n v="156873.04365826395"/>
        <n v="173987.75154080152"/>
        <n v="135753.76604209637"/>
        <n v="84426.50941202953"/>
        <n v="70815.19028553025"/>
        <n v="125983.15175354636"/>
        <n v="142378.18404122637"/>
        <n v="57427.68070701013"/>
        <n v="63331.33100223037"/>
        <n v="51241.02855330037"/>
        <n v="80326.44080925026"/>
        <n v="71912.56572806025"/>
        <n v="119204.30953474637"/>
        <n v="129441.27865673638"/>
        <n v="77645.74993512024"/>
        <n v="69926.65036245"/>
        <n v="71973.04430034013"/>
        <n v="44304.898362210246"/>
        <n v="66799.7237304905"/>
        <n v="125689.59284090636"/>
        <n v="138624.94500363516"/>
        <n v="81715.04533178038"/>
        <n v="86842.86135788013"/>
        <n v="56976.785283900375"/>
        <n v="53433.66802753037"/>
        <n v="55134.081818380364"/>
        <n v="145033.61079266516"/>
        <n v="173306.90648994275"/>
        <n v="88154.33871239"/>
        <n v="81142.02784779038"/>
        <n v="77672.8827777405"/>
        <n v="75483.42255430049"/>
        <n v="74354.5701020405"/>
        <n v="120326.87629269795"/>
        <n v="131867.99350401637"/>
        <n v="75504.00274262049"/>
        <n v="69968.07769908049"/>
        <n v="60187.14904728037"/>
        <n v="44698.700751095246"/>
        <n v="39463.40905993025"/>
        <n v="85794.09690262025"/>
        <n v="117288.01005380173"/>
        <n v="71056.06100378049"/>
        <n v="64394.07445333037"/>
        <n v="35165.972082725246"/>
        <n v="23234.183195130125"/>
        <n v="24754.957181800124"/>
        <n v="76691.2830290555"/>
        <n v="102231.21179235782"/>
        <n v="56974.86802579037"/>
        <n v="59442.73111516537"/>
        <n v="217683.36226402503"/>
        <n v="275458.8068961961"/>
        <n v="228731.86548652744"/>
        <n v="387639.119999522"/>
        <n v="461188.0048517348"/>
        <n v="202249.677169425"/>
        <n v="332559.76497908594"/>
        <n v="384806.7715819784"/>
        <n v="345776.25028037594"/>
        <n v="271551.0951007561"/>
        <n v="340440.20546208567"/>
        <n v="364416.7315821381"/>
        <n v="164719.60449161517"/>
        <n v="178921.09934873637"/>
        <n v="70286.9978107705"/>
        <n v="76013.67790171049"/>
        <n v="48406.787146740244"/>
        <n v="85940.02694079"/>
        <n v="57381.75145418537"/>
        <n v="32479.796394255125"/>
        <n v="52160.18393341537"/>
        <n v="51002.83956949524"/>
        <n v="30194.71595621512"/>
        <n v="29751.222605555122"/>
        <n v="68504.63943753537"/>
        <n v="68996.56175729049"/>
        <n v="41855.928759400245"/>
        <n v="44303.466485900244"/>
        <n v="46599.298130810246"/>
        <n v="125182.75716534758"/>
        <n v="150036.8050416176"/>
        <n v="368037.6919446588"/>
        <n v="351319.63806908"/>
        <n v="163289.93666880394"/>
        <n v="190892.45898757636"/>
        <n v="143082.1332657676"/>
        <n v="323548.78534206876"/>
        <n v="402312.33315894654"/>
        <n v="393635.174854894"/>
        <n v="451100.060076857"/>
        <n v="202902.62490132518"/>
        <n v="294557.6463662238"/>
        <n v="221618.32824753015"/>
        <n v="63968.38248018537"/>
        <n v="59609.54470528037"/>
        <n v="126588.25297451638"/>
        <n v="119755.01159048088"/>
        <n v="57413.410482090374"/>
        <n v="57749.13693860537"/>
        <n v="40140.82003455524"/>
        <n v="42195.81736485025"/>
        <n v="53490.797465390366"/>
        <n v="110809.31580557745"/>
        <n v="111527.01346960258"/>
        <n v="59808.13866875037"/>
        <n v="55166.226228085376"/>
        <n v="42054.680471955246"/>
        <n v="53678.179109280245"/>
        <n v="55930.16864310537"/>
        <n v="185771.00146306364"/>
        <n v="253116.91319854016"/>
        <n v="118618.45370215292"/>
        <n v="123320.78404237365"/>
        <n v="117051.27721540268"/>
        <n v="159299.98906190018"/>
        <n v="119047.40986790293"/>
        <n v="285081.9743284353"/>
        <n v="391656.2125835714"/>
        <n v="274814.77805485035"/>
        <n v="269555.02312096773"/>
        <n v="192001.03461514864"/>
        <n v="201367.78697700135"/>
        <n v="111874.55897295268"/>
        <n v="214540.3330908476"/>
        <n v="280264.24446527625"/>
        <n v="134136.72870994985"/>
        <n v="94243.46552793356"/>
        <n v="131436.19785473638"/>
        <n v="147893.94147097637"/>
        <n v="140238.3905104714"/>
        <n v="358183.774004685"/>
        <n v="377937.13869747263"/>
        <n v="168729.96240320895"/>
        <n v="177192.56981712018"/>
        <n v="152368.74909244638"/>
        <n v="147471.80491951638"/>
        <n v="145697.1519823564"/>
        <n v="301033.98651272245"/>
        <n v="309518.07207128487"/>
        <n v="152504.63172735393"/>
        <n v="79711.58341410049"/>
        <n v="111021.37911399867"/>
        <n v="243161.25923328882"/>
        <n v="311443.18123189744"/>
        <n v="375876.0134219526"/>
        <n v="434639.6589952693"/>
        <n v="238637.8163554564"/>
        <n v="260653.6669634964"/>
        <n v="262394.7800182788"/>
        <n v="248437.71130109383"/>
        <n v="201048.83046167396"/>
        <n v="317690.76093605126"/>
        <n v="378527.8726171638"/>
        <n v="195425.39107959517"/>
        <n v="90441.60336852976"/>
        <n v="117649.00063301293"/>
        <n v="141285.39545671365"/>
        <n v="133183.69368019365"/>
        <n v="229672.25632039242"/>
        <n v="333488.79787882004"/>
        <n v="185422.88563610363"/>
        <n v="173833.13316842366"/>
        <n v="220271.72138524518"/>
        <n v="234468.07119528638"/>
        <n v="213778.13805030516"/>
        <n v="273563.0147962938"/>
        <n v="337506.78841922"/>
        <n v="155312.78386216637"/>
        <n v="289243.3830561976"/>
        <n v="313125.3325325176"/>
        <n v="268330.3927050155"/>
        <n v="392228.13795848226"/>
        <n v="133728.98372885137"/>
        <n v="82778.44404831037"/>
        <n v="69522.83697394037"/>
        <n v="133021.27279536257"/>
        <n v="161267.5205918376"/>
        <n v="208583.21799035516"/>
        <n v="325457.52500147885"/>
        <n v="111650.23977407867"/>
        <n v="262421.2818645576"/>
        <n v="164527.53891335515"/>
        <n v="274990.1464991988"/>
        <n v="215737.84279871394"/>
        <n v="98646.9826975288"/>
        <n v="74401.21529302049"/>
        <n v="106592.34299626794"/>
        <n v="134629.65819693016"/>
        <n v="90773.65305790915"/>
        <n v="121373.06822441636"/>
        <n v="99445.55710397917"/>
        <n v="67587.54693007037"/>
        <n v="61685.93523841037"/>
        <n v="150006.92979182393"/>
        <n v="191287.35348550288"/>
        <n v="92595.46083693915"/>
        <n v="96947.05428847916"/>
        <n v="70512.8945004905"/>
        <n v="159590.49006920136"/>
        <n v="67046.27341580037"/>
        <n v="266949.23879314214"/>
        <n v="315272.2247721219"/>
        <n v="149138.92151888515"/>
        <n v="215171.03820177002"/>
        <n v="205197.8983571688"/>
        <n v="214452.24842869502"/>
        <n v="195767.97355403757"/>
        <n v="397984.32926288777"/>
        <n v="512603.10345302336"/>
        <n v="218104.06693917137"/>
        <n v="339004.33688676247"/>
        <n v="278116.3693275634"/>
        <n v="264159.3006103735"/>
        <n v="197778.1337405588"/>
        <n v="325749.00890694687"/>
        <n v="371561.97638721426"/>
        <n v="174581.6768458314"/>
        <n v="208489.36941933125"/>
        <n v="84495.16666764012"/>
        <n v="76661.25003017939"/>
        <n v="64034.940459509766"/>
        <n v="148839.97486826516"/>
        <n v="172541.50792952394"/>
        <n v="87991.66300211854"/>
        <n v="123445.38155042758"/>
        <n v="77344.6918736694"/>
        <n v="158963.02488179517"/>
        <n v="69598.07115293965"/>
        <n v="161275.60219880517"/>
        <n v="325215.07679238246"/>
        <n v="96957.29584445807"/>
        <n v="85224.4770912288"/>
        <n v="54612.87884153988"/>
        <n v="81530.61238232465"/>
        <n v="160947.5326401876"/>
        <n v="188736.24741743514"/>
        <n v="215951.50786707396"/>
        <n v="134995.8544959426"/>
        <n v="163079.3780439676"/>
        <n v="180828.67409182637"/>
        <n v="171196.17519446637"/>
        <n v="129719.0505263338"/>
        <n v="142127.6420906126"/>
        <n v="152124.4078943276"/>
        <n v="74132.78702307428"/>
        <n v="91143.02860770928"/>
        <n v="60528.093358145"/>
        <n v="38340.599611080244"/>
        <n v="37453.006182510246"/>
        <n v="77997.04501286939"/>
        <n v="79752.28267802928"/>
        <n v="37155.58848456025"/>
        <n v="45046.51321443024"/>
        <n v="55489.33275780024"/>
        <n v="41893.30315800024"/>
        <n v="34348.504189710126"/>
        <n v="78276.83121693452"/>
        <n v="92851.40266007879"/>
        <n v="54845.78929827025"/>
        <n v="48037.79990238025"/>
        <n v="65905.72326216001"/>
        <n v="84870.05130086976"/>
        <n v="262459.5056813039"/>
        <n v="228124.39802927393"/>
        <n v="162929.49214412636"/>
        <n v="58359.83218482013"/>
        <n v="85605.33192059916"/>
        <n v="84836.41434212928"/>
        <n v="64308.91421652049"/>
        <n v="131168.4855229476"/>
        <n v="232410.19797781546"/>
        <n v="195831.0974571179"/>
        <n v="90716.54788913988"/>
        <n v="131638.01960717636"/>
        <n v="81910.87261898941"/>
        <n v="54821.90851370989"/>
        <n v="155615.4194144664"/>
        <n v="264086.89378035"/>
        <n v="272761.2975426888"/>
        <n v="104689.42791845855"/>
        <n v="131170.59693377637"/>
        <n v="123179.48940038879"/>
        <n v="124431.0463716888"/>
        <n v="162166.83599087514"/>
        <n v="354042.0232398288"/>
        <n v="327352.26139595883"/>
        <n v="164809.30304825393"/>
        <n v="151157.79430871515"/>
        <n v="126895.93649753758"/>
        <n v="166395.44582884014"/>
        <n v="167796.35478000136"/>
        <n v="351146.0169992443"/>
        <n v="420738.8217596446"/>
        <n v="186166.15078643878"/>
        <n v="251449.52963919108"/>
        <n v="280321.8107467659"/>
        <n v="313434.9333136646"/>
        <n v="257324.60308093973"/>
        <n v="455554.3360482295"/>
        <n v="556865.2032750524"/>
        <n v="354856.0449220869"/>
        <n v="283284.5812539708"/>
        <n v="297500.67396872584"/>
        <n v="285968.4877825197"/>
        <n v="237946.63267226366"/>
        <n v="340851.5058648595"/>
        <n v="388187.60143352806"/>
        <n v="139178.98405924515"/>
        <n v="66400.30304726951"/>
        <n v="42723.52445781024"/>
        <n v="35014.39948113025"/>
        <n v="27210.406631640122"/>
        <n v="79840.0882456494"/>
        <n v="82484.44829204916"/>
        <n v="51497.23733643001"/>
        <n v="42871.83286680037"/>
        <n v="39104.63910246025"/>
        <n v="34406.750005710244"/>
        <n v="39403.658560350246"/>
        <n v="96830.90242373844"/>
        <n v="99380.3945973283"/>
        <n v="61656.18133406976"/>
        <n v="69163.55736557952"/>
        <n v="113112.86502110964"/>
        <n v="253686.30245358607"/>
        <n v="210305.29194403623"/>
        <n v="364087.4242999305"/>
        <n v="397480.3694745255"/>
        <n v="204028.17675735243"/>
        <n v="172797.9351344664"/>
        <n v="258970.65411018487"/>
        <n v="368789.5726219706"/>
        <n v="278071.38656924595"/>
        <n v="373959.36203922686"/>
        <n v="402057.2528885355"/>
        <n v="205719.45323581624"/>
        <n v="177626.95012448638"/>
        <n v="70441.9074122394"/>
        <n v="162923.84958070016"/>
        <n v="138752.5276097676"/>
        <n v="252458.26223048882"/>
        <n v="293917.852481117"/>
        <n v="138350.12182847515"/>
        <n v="130067.27556419636"/>
        <n v="107168.66107649941"/>
        <n v="224030.55444808622"/>
        <n v="201918.22207274396"/>
        <n v="329344.26830316125"/>
        <n v="308642.9772240819"/>
        <n v="134472.40662827637"/>
        <n v="143809.72058396638"/>
        <n v="123252.15105584757"/>
        <n v="40067.15121186024"/>
        <n v="143752.73676064878"/>
        <n v="389904.00855466264"/>
        <n v="461280.78558277444"/>
        <n v="221578.6968235614"/>
        <n v="253702.2229766188"/>
        <n v="200616.07618333894"/>
        <n v="211700.81315721016"/>
        <n v="282757.71144459763"/>
        <n v="479010.156707742"/>
        <n v="454543.2857587894"/>
        <n v="242185.1807025776"/>
        <n v="281531.68555597885"/>
        <n v="219363.22013563893"/>
        <n v="204005.58223455393"/>
        <n v="69579.06845546977"/>
        <n v="87184.74002870891"/>
        <n v="78700.43604833915"/>
        <n v="39809.55909060037"/>
        <n v="45839.23877019025"/>
        <n v="36851.76374685037"/>
        <n v="33225.67047177012"/>
        <n v="30423.391456740123"/>
        <n v="80345.63765943915"/>
        <n v="95297.33862663868"/>
        <n v="45324.05452767025"/>
        <n v="51604.118408790244"/>
        <n v="37870.119032340364"/>
        <n v="35169.91580985013"/>
        <n v="61148.20501127964"/>
        <n v="77171.70180014952"/>
        <n v="40881.354912270246"/>
        <n v="43085.59501152025"/>
        <n v="43894.99343211024"/>
        <n v="67780.72888646953"/>
        <n v="51907.94314650024"/>
        <n v="93508.63388636916"/>
        <n v="95343.59551217893"/>
        <n v="59514.99233063988"/>
        <n v="65133.96620015976"/>
        <n v="70641.25371749989"/>
        <n v="48442.17147996025"/>
        <n v="46291.371916890246"/>
        <n v="73453.14329216964"/>
        <n v="71508.89795408952"/>
        <n v="30066.126182850126"/>
        <n v="37726.61590317024"/>
        <n v="30831.694626900247"/>
        <n v="146811.45511516015"/>
        <n v="99867.32961908735"/>
        <n v="210664.86278147745"/>
        <n v="266271.0390730934"/>
        <n v="123084.03906941514"/>
        <n v="162727.52477714515"/>
        <n v="114708.94599404662"/>
        <n v="122318.90746898638"/>
        <n v="112010.34453149686"/>
        <n v="229861.47028057987"/>
        <n v="249981.24969419473"/>
        <n v="136480.24911670017"/>
        <n v="127369.80261433138"/>
        <n v="43537.72815822025"/>
        <n v="120407.41326786332"/>
        <n v="226375.54313479608"/>
        <n v="337900.1782335956"/>
        <n v="355069.54010681686"/>
        <n v="153893.68522805016"/>
        <n v="159625.74092242515"/>
        <n v="133961.96699285138"/>
        <n v="236305.15636647624"/>
        <n v="313491.73511881445"/>
        <n v="370355.0017342406"/>
        <n v="369091.0553924981"/>
        <n v="209026.01967195864"/>
        <n v="228177.31678002988"/>
        <n v="154494.78204917017"/>
        <n v="50736.47417220013"/>
        <n v="43292.149236510246"/>
        <n v="77335.91859763415"/>
        <n v="85070.23488973391"/>
        <n v="48831.66610537024"/>
        <n v="52075.15717660012"/>
        <n v="30424.726256690126"/>
        <n v="20495.113025005"/>
        <n v="40742.17168112024"/>
        <n v="69864.83699021953"/>
        <n v="100120.71105323294"/>
        <n v="49825.09703543013"/>
        <n v="46566.462052040246"/>
        <n v="37923.76585578537"/>
        <n v="50084.812702065254"/>
        <n v="41885.82827828037"/>
        <n v="147503.57315832516"/>
        <n v="151639.18384341136"/>
        <n v="72457.29758765452"/>
        <n v="67355.06118241463"/>
        <n v="58941.792828474885"/>
        <n v="58796.785015724636"/>
        <n v="57019.38967139464"/>
        <n v="155918.38259948257"/>
        <n v="208489.09032479016"/>
        <n v="118580.4725762977"/>
        <n v="142758.88112151137"/>
        <n v="96620.9869297833"/>
        <n v="78861.59494048428"/>
        <n v="70279.47439286964"/>
        <n v="87748.86289121355"/>
        <n v="92053.32576997319"/>
        <n v="51751.38324691001"/>
        <n v="50934.98319385512"/>
        <n v="36113.934872670245"/>
        <n v="31023.359765175122"/>
        <n v="22334.212530660003"/>
        <n v="69440.92879519025"/>
        <n v="92159.02979147158"/>
        <n v="57296.28785375024"/>
        <n v="57184.94126883025"/>
        <n v="40951.10427692964"/>
        <n v="37672.447294289756"/>
        <n v="38648.137519559634"/>
        <n v="96020.54537409684"/>
        <n v="105662.59415837255"/>
        <n v="54738.48351683513"/>
        <n v="40131.573511264636"/>
        <n v="70402.99192642537"/>
        <n v="62501.74069876025"/>
        <n v="53675.2182803"/>
        <n v="102606.32698194706"/>
        <n v="124988.15546718866"/>
        <n v="67521.03748892537"/>
        <n v="70020.59600984037"/>
        <n v="126954.17017899743"/>
        <n v="97558.24705104147"/>
        <n v="97039.00987049159"/>
        <n v="168349.2653229361"/>
        <n v="202017.4219781323"/>
        <n v="108459.00005362219"/>
        <n v="112536.37705725255"/>
        <n v="100479.92998887182"/>
        <n v="81649.68867241085"/>
        <n v="71529.1626442405"/>
        <n v="160938.60161507488"/>
        <n v="164998.84464116488"/>
        <n v="97946.78304739682"/>
        <n v="87834.25368438134"/>
        <n v="95509.13497507002"/>
        <n v="77229.97188523952"/>
      </sharedItems>
    </cacheField>
    <cacheField name="Cost Of Sales" numFmtId="0">
      <sharedItems containsSemiMixedTypes="0" containsString="0" containsNumber="1">
        <n v="230079.62101244804"/>
        <n v="306986.1204842832"/>
        <n v="87986.31821444989"/>
        <n v="202881.17770623261"/>
        <n v="333806.2918733548"/>
        <n v="313652.34827236354"/>
        <n v="183083.28498402698"/>
        <n v="313446.068148843"/>
        <n v="229533.97372837967"/>
        <n v="99381.96751722493"/>
        <n v="104816.45851255264"/>
        <n v="141333.99628349254"/>
        <n v="143179.66998839285"/>
        <n v="93126.14723834406"/>
        <n v="112186.30866305273"/>
        <n v="78096.76018225115"/>
        <n v="97159.00258686997"/>
        <n v="83350.43315882455"/>
        <n v="132703.33541977167"/>
        <n v="146928.41178089235"/>
        <n v="72782.28432140293"/>
        <n v="81789.13612235275"/>
        <n v="88388.91606915972"/>
        <n v="57157.2825440923"/>
        <n v="62863.98723906299"/>
        <n v="114823.79522381267"/>
        <n v="152636.27656236594"/>
        <n v="81583.16694985318"/>
        <n v="71377.15645543634"/>
        <n v="49769.09824300322"/>
        <n v="66529.44199653144"/>
        <n v="63757.83986845208"/>
        <n v="135609.50758204967"/>
        <n v="178435.71534579594"/>
        <n v="111466.51684753725"/>
        <n v="140505.63472300323"/>
        <n v="128496.2877011727"/>
        <n v="195078.60333094277"/>
        <n v="101977.98995528856"/>
        <n v="313529.1877487157"/>
        <n v="329754.7794635822"/>
        <n v="141530.70868329128"/>
        <n v="154828.68457507665"/>
        <n v="139824.1616410127"/>
        <n v="166893.3689190051"/>
        <n v="141027.43445568127"/>
        <n v="343519.87554694666"/>
        <n v="373973.5933348522"/>
        <n v="136797.07737015275"/>
        <n v="152887.1063994804"/>
        <n v="53463.2442119933"/>
        <n v="107736.44407595859"/>
        <n v="75934.39482203958"/>
        <n v="322089.78895544185"/>
        <n v="320116.92432327796"/>
        <n v="140752.60159166716"/>
        <n v="134505.40422379476"/>
        <n v="227546.44655960065"/>
        <n v="228214.1421194314"/>
        <n v="365935.6529559262"/>
        <n v="686656.7909921708"/>
        <n v="872081.5850035211"/>
        <n v="495554.4499238885"/>
        <n v="557567.1369848134"/>
        <n v="323325.0299270246"/>
        <n v="267308.50708271045"/>
        <n v="168135.6900061219"/>
        <n v="483774.59671529237"/>
        <n v="541498.9582445963"/>
        <n v="233589.98296832"/>
        <n v="297642.8914364595"/>
        <n v="191499.04281320787"/>
        <n v="197153.4240190601"/>
        <n v="168975.17404544077"/>
        <n v="406765.91395402345"/>
        <n v="534383.1431186085"/>
        <n v="233191.10456622293"/>
        <n v="250794.22126409467"/>
        <n v="90571.58892297688"/>
        <n v="88255.8409917939"/>
        <n v="172344.3044394809"/>
        <n v="192019.14427492704"/>
        <n v="165201.30501850985"/>
        <n v="67061.62270944688"/>
        <n v="77703.6463336835"/>
        <n v="127394.28924213616"/>
        <n v="122275.10258217747"/>
        <n v="118186.57504122709"/>
        <n v="271550.89558082254"/>
        <n v="352250.83007461776"/>
        <n v="160525.42687771353"/>
        <n v="187072.5952299383"/>
        <n v="239700.6847975987"/>
        <n v="153366.01881055222"/>
        <n v="134523.06863372037"/>
        <n v="187742.30001175258"/>
        <n v="213540.73418419377"/>
        <n v="116856.31461341622"/>
        <n v="130784.44470906522"/>
        <n v="115305.80518544574"/>
        <n v="121264.70311816283"/>
        <n v="183278.50242698644"/>
        <n v="326322.52601226023"/>
        <n v="383727.1940129243"/>
        <n v="170061.86414652268"/>
        <n v="198212.06872996836"/>
        <n v="255956.65403528852"/>
        <n v="301522.3522543714"/>
        <n v="627927.7586733897"/>
        <n v="476692.5436944089"/>
        <n v="369765.6127632247"/>
        <n v="117190.8261541667"/>
        <n v="165415.08384550374"/>
        <n v="187344.73717165823"/>
        <n v="106849.89879556595"/>
        <n v="96197.48223143081"/>
        <n v="292327.02825568395"/>
        <n v="281159.581123413"/>
        <n v="123042.15895289756"/>
        <n v="122516.06570420253"/>
        <n v="130405.26385817112"/>
        <n v="150644.34824066723"/>
        <n v="175656.65039321326"/>
        <n v="157300.625596072"/>
        <n v="127601.94472593981"/>
        <n v="91601.50654339502"/>
        <n v="109460.1532226706"/>
        <n v="115693.10664184783"/>
        <n v="93157.1705825259"/>
        <n v="93696.21613721379"/>
        <n v="325836.9401138924"/>
        <n v="465253.815715588"/>
        <n v="215907.8249128291"/>
        <n v="197835.4950837978"/>
        <n v="157693.18930052698"/>
        <n v="218098.76188801107"/>
        <n v="289864.79847427225"/>
        <n v="441790.76722722733"/>
        <n v="526707.3769616452"/>
        <n v="174376.63247461844"/>
        <n v="175540.11551824523"/>
        <n v="187748.1722021974"/>
        <n v="204460.6653774428"/>
        <n v="115011.32260883169"/>
        <n v="449274.1862583655"/>
        <n v="614245.7941495274"/>
        <n v="217364.46301139216"/>
        <n v="225607.5951852721"/>
        <n v="234496.51283165644"/>
        <n v="252929.29469238102"/>
        <n v="215118.84649511724"/>
        <n v="521651.08612557297"/>
        <n v="626259.3868488161"/>
        <n v="473223.9807315766"/>
        <n v="442155.99116118724"/>
        <n v="340913.591725203"/>
        <n v="296902.67253080226"/>
        <n v="192824.89012846403"/>
        <n v="300213.5594066618"/>
        <n v="407438.9196005409"/>
        <n v="201254.71251154633"/>
        <n v="220255.2191788284"/>
        <n v="195254.78100370185"/>
        <n v="180978.6010382294"/>
        <n v="207757.70297321578"/>
        <n v="486180.5443618799"/>
        <n v="492135.2922944348"/>
        <n v="233554.0322464338"/>
        <n v="193340.31536521245"/>
        <n v="221403.64501724"/>
        <n v="192057.5108470778"/>
        <n v="119544.0197640804"/>
        <n v="205350.6430787224"/>
        <n v="206918.9125938658"/>
        <n v="135372.52702503128"/>
        <n v="139206.02689008065"/>
        <n v="35299.064235203216"/>
        <n v="53925.25763103767"/>
        <n v="53688.24119505065"/>
        <n v="127302.42713472138"/>
        <n v="141012.32941184982"/>
        <n v="60083.86983686743"/>
        <n v="90294.37608768833"/>
        <n v="173842.92092590587"/>
        <n v="101615.73201573636"/>
        <n v="90927.08965764765"/>
        <n v="95423.27398722722"/>
        <n v="114395.62762744626"/>
        <n v="68252.24220948873"/>
        <n v="66990.88135215205"/>
        <n v="105373.30003337098"/>
        <n v="79496.49424396551"/>
        <n v="101270.97105094598"/>
        <n v="130633.26271454827"/>
        <n v="96688.49781301751"/>
        <n v="48370.308994006264"/>
        <n v="73393.44659366891"/>
        <n v="107437.3809516128"/>
        <n v="164641.35398748523"/>
        <n v="78844.86050033744"/>
        <n v="121612.17892455596"/>
        <n v="255779.85446049325"/>
        <n v="83020.51412546248"/>
        <n v="84643.27182721549"/>
        <n v="55278.70782923058"/>
        <n v="173725.35752062302"/>
        <n v="92416.90383823749"/>
        <n v="538260.2718039068"/>
        <n v="586670.514084788"/>
        <n v="277238.0103614798"/>
        <n v="304508.379030808"/>
        <n v="221017.07309976683"/>
        <n v="205903.82494520774"/>
        <n v="307222.3954216875"/>
        <n v="636341.3159261962"/>
        <n v="653779.9634532441"/>
        <n v="319500.00945712806"/>
        <n v="376645.7509344858"/>
        <n v="272809.2904438099"/>
        <n v="77649.63653325358"/>
        <n v="99367.23322268797"/>
        <n v="456509.62185022025"/>
        <n v="424340.94938278507"/>
        <n v="203331.43478475648"/>
        <n v="241134.5277944064"/>
        <n v="197438.11163851494"/>
        <n v="205114.12894822727"/>
        <n v="184687.52914036706"/>
        <n v="491559.42296304414"/>
        <n v="562953.3707736537"/>
        <n v="249203.12076822476"/>
        <n v="265532.5462048222"/>
        <n v="167021.15782900868"/>
        <n v="174723.17542794356"/>
        <n v="167239.64875993136"/>
        <n v="384006.045320909"/>
        <n v="463250.071255098"/>
        <n v="218347.79777692942"/>
        <n v="323293.3966404731"/>
        <n v="259860.5125486858"/>
        <n v="304334.78464343684"/>
        <n v="287168.5660898254"/>
        <n v="660937.8048056035"/>
        <n v="797788.8919762375"/>
        <n v="398562.60743015877"/>
        <n v="662850.9907610841"/>
        <n v="523480.3033456417"/>
        <n v="517180.5432955554"/>
        <n v="348177.12054578186"/>
        <n v="558766.690346946"/>
        <n v="616169.8514311365"/>
        <n v="261088.38637296777"/>
        <n v="272633.3998027578"/>
        <n v="120070.95018859745"/>
        <n v="77071.54270611012"/>
        <n v="69489.36084683513"/>
        <n v="145956.13969592098"/>
        <n v="168652.2035714417"/>
        <n v="84948.37457716375"/>
        <n v="118094.04319314891"/>
        <n v="81753.42459354558"/>
        <n v="72471.9193234045"/>
        <n v="68280.38327689518"/>
        <n v="135276.90958604595"/>
        <n v="151376.13558980462"/>
        <n v="74546.66825359916"/>
        <n v="89653.6375894529"/>
        <n v="108880.40896318309"/>
        <n v="223554.08660175066"/>
        <n v="382967.98317568295"/>
        <n v="625980.9302094147"/>
        <n v="661010.5912638623"/>
        <n v="304440.6515064546"/>
        <n v="283912.9686974417"/>
        <n v="384823.4398780722"/>
        <n v="639306.5687824654"/>
        <n v="506072.0333414291"/>
        <n v="557939.3692763688"/>
        <n v="705891.3002624522"/>
        <n v="301279.65498243197"/>
        <n v="404178.9210552279"/>
        <n v="74251.87472596546"/>
        <n v="67141.97962908403"/>
        <n v="98065.93907845089"/>
        <n v="170757.58117720697"/>
        <n v="131192.31677147365"/>
        <n v="57992.34151118769"/>
        <n v="82392.33326461639"/>
        <n v="66313.9409792702"/>
        <n v="124398.43162958851"/>
        <n v="91087.85133554287"/>
        <n v="116949.79127421073"/>
        <n v="164492.9466328486"/>
        <n v="87911.21158320548"/>
        <n v="98870.81187719772"/>
        <n v="100424.15574332293"/>
        <n v="96511.72215753814"/>
        <n v="94763.84254876594"/>
        <n v="241961.14324530264"/>
        <n v="294129.6711231186"/>
        <n v="124739.23394868796"/>
        <n v="140651.93717842025"/>
        <n v="87067.05131891428"/>
        <n v="80112.54801498825"/>
        <n v="68293.09638979612"/>
        <n v="163319.7164706766"/>
        <n v="242638.8011974684"/>
        <n v="145646.33680169418"/>
        <n v="201281.239025563"/>
        <n v="90949.44225220109"/>
        <n v="67872.77432688524"/>
        <n v="84486.0860860636"/>
        <n v="136539.20329644668"/>
        <n v="156700.8249957323"/>
        <n v="71994.34639365315"/>
        <n v="73967.60569443136"/>
        <n v="54996.86660759073"/>
        <n v="48289.892276094746"/>
        <n v="53997.21887310759"/>
        <n v="146994.89550113154"/>
        <n v="176898.27782037074"/>
        <n v="73905.81015882002"/>
        <n v="84418.78910931063"/>
        <n v="61158.36109019277"/>
        <n v="47409.55405646717"/>
        <n v="50038.142634161086"/>
        <n v="47192.49828410188"/>
        <n v="41179.08824545916"/>
        <n v="26893.304677301025"/>
        <n v="23516.0417180955"/>
        <n v="35674.1907631663"/>
        <n v="26054.849168281442"/>
        <n v="32719.68963642164"/>
        <n v="40652.57640885138"/>
        <n v="79880.24368293647"/>
        <n v="93177.88470439028"/>
        <n v="97257.39466572937"/>
        <n v="85533.42892331851"/>
        <n v="69654.93030590401"/>
        <n v="54503.02854750456"/>
        <n v="77619.29488939041"/>
        <n v="154998.8345818768"/>
        <n v="111903.73790247929"/>
        <n v="91081.66819408616"/>
        <n v="77014.25596030557"/>
        <n v="169348.51858486477"/>
        <n v="171692.99360653348"/>
        <n v="301236.10987981"/>
        <n v="402564.67862758524"/>
        <n v="192327.32065612174"/>
        <n v="304489.638251931"/>
        <n v="179571.12907994096"/>
        <n v="161137.52200304752"/>
        <n v="221435.768649636"/>
        <n v="299516.83776498266"/>
        <n v="346378.3047678482"/>
        <n v="190644.5015686917"/>
        <n v="210188.9094104479"/>
        <n v="326627.1384163756"/>
        <n v="495909.0895633959"/>
        <n v="140525.78674110342"/>
        <n v="49028.365072183806"/>
        <n v="112383.55924730633"/>
        <n v="70482.71780296908"/>
        <n v="136003.48252575178"/>
        <n v="235723.76475390818"/>
        <n v="398013.34833037213"/>
        <n v="122170.43168462774"/>
        <n v="295019.46942959033"/>
        <n v="267734.7252553707"/>
        <n v="194427.4479735023"/>
        <n v="239988.02746038733"/>
        <n v="197328.9439108107"/>
        <n v="84728.83119663107"/>
        <n v="78468.09549968746"/>
        <n v="126444.14251828095"/>
        <n v="123392.80406778071"/>
        <n v="71051.36350293276"/>
        <n v="86467.53775028168"/>
        <n v="65980.42208985981"/>
        <n v="60703.3560287776"/>
        <n v="80337.74831217455"/>
        <n v="152030.9864805352"/>
        <n v="173547.02711004243"/>
        <n v="76003.92825421382"/>
        <n v="91110.9693479948"/>
        <n v="99134.30698859354"/>
        <n v="64144.08887524592"/>
        <n v="67952.1505548415"/>
        <n v="158031.79104317204"/>
        <n v="162082.41843851437"/>
        <n v="79795.0431031607"/>
        <n v="93808.08674687239"/>
        <n v="78614.45775337583"/>
        <n v="61194.180255889565"/>
        <n v="58531.41098518647"/>
        <n v="137221.53747357725"/>
        <n v="203814.73638908495"/>
        <n v="174652.45798996426"/>
        <n v="154148.59881302153"/>
        <n v="103634.96422901604"/>
        <n v="83232.39136736213"/>
        <n v="46407.29911726897"/>
        <n v="85765.70933606157"/>
        <n v="105662.55624090016"/>
        <n v="73046.23389967678"/>
        <n v="97097.93659019307"/>
        <n v="148522.8490204199"/>
        <n v="173661.82783508644"/>
        <n v="147756.34279381522"/>
        <n v="382447.08041708503"/>
        <n v="451548.0275596244"/>
        <n v="217065.61516082732"/>
        <n v="234723.22004532232"/>
        <n v="148697.5436959896"/>
        <n v="170739.36662316835"/>
        <n v="152824.1148984046"/>
        <n v="310240.3783953406"/>
        <n v="283430.3368337632"/>
        <n v="144020.1227597401"/>
        <n v="85730.96653928269"/>
        <n v="100867.5240607559"/>
        <n v="209499.79410912097"/>
        <n v="166305.03762747045"/>
        <n v="324997.33647802816"/>
        <n v="375030.63545205916"/>
        <n v="276569.2503923595"/>
        <n v="252709.82306975976"/>
        <n v="268761.83235694445"/>
        <n v="278825.6066785365"/>
        <n v="157578.005866528"/>
        <n v="291365.01755439857"/>
        <n v="332242.411551486"/>
        <n v="121394.81220117224"/>
        <n v="116861.15827355147"/>
        <n v="62073.87265416521"/>
        <n v="56638.28137060811"/>
        <n v="47681.67207887158"/>
        <n v="116681.14155165869"/>
        <n v="149573.8275926896"/>
        <n v="66802.98321783988"/>
        <n v="80121.2905225416"/>
        <n v="50308.957054208026"/>
        <n v="48362.06879194777"/>
        <n v="42981.21684775456"/>
        <n v="96453.2872848832"/>
        <n v="120829.28797107039"/>
        <n v="66756.37644364212"/>
        <n v="81132.01289723592"/>
        <n v="136375.15271351667"/>
        <n v="276194.8294840427"/>
        <n v="250361.15020932571"/>
        <n v="386464.6513269861"/>
        <n v="501362.5724903483"/>
        <n v="244359.80746223294"/>
        <n v="234819.44742668918"/>
        <n v="386988.9147484839"/>
        <n v="542483.8358055089"/>
        <n v="777522.1927510158"/>
        <n v="554159.8194134269"/>
        <n v="434872.7289103458"/>
        <n v="147335.92505366588"/>
        <n v="198405.2291123257"/>
        <n v="178390.14906155376"/>
        <n v="100579.1289483651"/>
        <n v="74427.58597218397"/>
        <n v="113653.97356322031"/>
        <n v="126043.76915933749"/>
        <n v="79349.40245134271"/>
        <n v="82700.35417030295"/>
        <n v="39940.199579223205"/>
        <n v="56969.92259423945"/>
        <n v="48827.88538117275"/>
        <n v="101408.94958672023"/>
        <n v="129545.5321235172"/>
        <n v="61213.25590506657"/>
        <n v="55706.875425596525"/>
        <n v="55172.17122554866"/>
        <n v="140263.93010239187"/>
        <n v="58446.054929901366"/>
        <n v="362390.59604190825"/>
        <n v="535306.0098701882"/>
        <n v="210964.7680869965"/>
        <n v="204053.49893464716"/>
        <n v="200804.03684509994"/>
        <n v="209483.87580877283"/>
        <n v="406252.00759341643"/>
        <n v="526206.9371722165"/>
        <n v="496852.8019930757"/>
        <n v="273280.04637040466"/>
        <n v="336742.60236538574"/>
        <n v="251700.9664012018"/>
        <n v="242259.8595396662"/>
        <n v="115769.08632788144"/>
        <n v="355565.0417344777"/>
        <n v="419827.1365222265"/>
        <n v="179243.05183339986"/>
        <n v="213676.42842593024"/>
        <n v="208039.17344555477"/>
        <n v="179221.57229363997"/>
        <n v="160620.2071408729"/>
        <n v="409812.4326636886"/>
        <n v="445569.7191074052"/>
        <n v="190811.57794423788"/>
        <n v="211510.78612034488"/>
        <n v="147846.05216339655"/>
        <n v="178568.18048077746"/>
        <n v="81763.26738933011"/>
        <n v="346487.5203341674"/>
        <n v="450936.2792642945"/>
        <n v="182419.1414416233"/>
        <n v="276173.7924514967"/>
        <n v="214719.75281922088"/>
        <n v="262251.0800794076"/>
        <n v="234483.4170098073"/>
        <n v="508265.1469737418"/>
        <n v="588250.1811507833"/>
        <n v="284828.65965624875"/>
        <n v="474967.3276312148"/>
        <n v="360168.827077008"/>
        <n v="290492.1062803224"/>
        <n v="216428.50043796102"/>
        <n v="315937.8621965937"/>
        <n v="376094.7218058327"/>
        <n v="193348.5914462289"/>
        <n v="106166.0816212578"/>
        <n v="74212.79057454942"/>
        <n v="68669.39496391629"/>
        <n v="66539.16519576797"/>
        <n v="149423.24358090668"/>
        <n v="178347.369376849"/>
        <n v="80659.82181208202"/>
        <n v="143962.87189290192"/>
        <n v="96810.1035815691"/>
        <n v="85639.30774599456"/>
        <n v="75673.78198741567"/>
        <n v="136017.75039375728"/>
        <n v="162287.909224824"/>
        <n v="85781.80703122966"/>
        <n v="82427.23153690711"/>
        <n v="62169.77712485719"/>
        <n v="113428.47427466739"/>
        <n v="195365.7307199428"/>
        <n v="339241.6918024566"/>
        <n v="392017.9734509866"/>
        <n v="197095.10874296943"/>
        <n v="175871.1109205226"/>
        <n v="225678.9345253019"/>
        <n v="324248.8414913401"/>
        <n v="266061.92835854064"/>
        <n v="284592.9946612319"/>
        <n v="335025.0763601264"/>
        <n v="165968.62450163957"/>
        <n v="184188.97897635488"/>
        <n v="143799.5986875294"/>
        <n v="84588.96303542092"/>
        <n v="71913.06858060515"/>
        <n v="127884.58724444837"/>
        <n v="143924.56511903758"/>
        <n v="58723.04053175166"/>
        <n v="64690.05906998081"/>
        <n v="52509.91621999616"/>
        <n v="81730.270702131"/>
        <n v="73762.62917326878"/>
        <n v="122669.69942792531"/>
        <n v="132493.43152089373"/>
        <n v="79555.63473624234"/>
        <n v="71362.51783813686"/>
        <n v="73851.78839873473"/>
        <n v="45468.83697600943"/>
        <n v="69323.64787191155"/>
        <n v="130428.22639511683"/>
        <n v="143537.39521883638"/>
        <n v="85089.22343005694"/>
        <n v="90242.79409715362"/>
        <n v="59094.076857821434"/>
        <n v="55516.52556207961"/>
        <n v="57064.75069601244"/>
        <n v="149876.87328204015"/>
        <n v="178699.97587509945"/>
        <n v="90828.66169982335"/>
        <n v="83114.57680933841"/>
        <n v="80417.7464421733"/>
        <n v="78024.28467503063"/>
        <n v="76978.30523840741"/>
        <n v="123707.76157316696"/>
        <n v="135721.42603033097"/>
        <n v="77978.69447147881"/>
        <n v="72665.7255271172"/>
        <n v="62538.49327792498"/>
        <n v="46849.567146474845"/>
        <n v="41414.418370139814"/>
        <n v="89898.89422749996"/>
        <n v="122504.35720229718"/>
        <n v="74589.17286625026"/>
        <n v="67505.25413928372"/>
        <n v="36841.967322813805"/>
        <n v="24104.085977912528"/>
        <n v="25407.174070346187"/>
        <n v="78691.9563155523"/>
        <n v="104713.00749977645"/>
        <n v="57548.98515340962"/>
        <n v="59785.42861456379"/>
        <n v="246975.73076564312"/>
        <n v="307092.27437902824"/>
        <n v="252845.44555357666"/>
        <n v="426783.3022181441"/>
        <n v="504578.1887572265"/>
        <n v="220152.18675395823"/>
        <n v="361970.285938652"/>
        <n v="418101.5975483603"/>
        <n v="373816.1684006343"/>
        <n v="293343.8739735622"/>
        <n v="366359.65859248454"/>
        <n v="392128.30126516864"/>
        <n v="176647.84265184918"/>
        <n v="192507.5287324894"/>
        <n v="66639.6980528115"/>
        <n v="72211.10317465069"/>
        <n v="45316.54273361083"/>
        <n v="81559.84562327196"/>
        <n v="54340.891509322864"/>
        <n v="30763.688117313315"/>
        <n v="49656.007748568794"/>
        <n v="48601.967504707296"/>
        <n v="28605.460797613814"/>
        <n v="28084.23512836408"/>
        <n v="64881.97564825693"/>
        <n v="65211.57177094122"/>
        <n v="39629.45187227755"/>
        <n v="41485.458718801405"/>
        <n v="43806.73201043591"/>
        <n v="138583.8378162164"/>
        <n v="167704.85540677374"/>
        <n v="413540.807164328"/>
        <n v="397626.5850584556"/>
        <n v="185404.04401051014"/>
        <n v="216571.05952146213"/>
        <n v="162929.0184723528"/>
        <n v="368434.8859088649"/>
        <n v="459285.80452600674"/>
        <n v="448390.96576197416"/>
        <n v="515549.389916234"/>
        <n v="232360.32715548942"/>
        <n v="336897.9224004055"/>
        <n v="253291.06228608298"/>
        <n v="61942.84267774664"/>
        <n v="57736.476659462984"/>
        <n v="122622.36311479038"/>
        <n v="116003.68691362541"/>
        <n v="55617.58464392972"/>
        <n v="55933.00857584616"/>
        <n v="38881.08844178642"/>
        <n v="40869.24947226706"/>
        <n v="51799.16590340081"/>
        <n v="107331.98051512288"/>
        <n v="108023.60734392128"/>
        <n v="57937.4586559695"/>
        <n v="53436.89709278487"/>
        <n v="40736.15047559227"/>
        <n v="51999.86086819557"/>
        <n v="54177.690061877336"/>
        <n v="192527.0110099228"/>
        <n v="262409.5694229162"/>
        <n v="122915.26701698842"/>
        <n v="128133.77860887129"/>
        <n v="122175.00027270183"/>
        <n v="174699.07672381026"/>
        <n v="124349.26548929588"/>
        <n v="297627.6907154063"/>
        <n v="429832.83476080553"/>
        <n v="287978.17491181655"/>
        <n v="281915.19210462895"/>
        <n v="201125.77547468373"/>
        <n v="220579.99556067705"/>
        <n v="116637.03434528297"/>
        <n v="223738.43271863073"/>
        <n v="306935.1603958135"/>
        <n v="140236.3033001348"/>
        <n v="89949.30417187726"/>
        <n v="143823.38644063805"/>
        <n v="161665.60055441552"/>
        <n v="153481.4533973026"/>
        <n v="391310.3206849369"/>
        <n v="413010.2290451295"/>
        <n v="184673.48850580244"/>
        <n v="193615.30370472991"/>
        <n v="166625.3650177976"/>
        <n v="161402.91869953024"/>
        <n v="159317.609394273"/>
        <n v="328965.14326487976"/>
        <n v="338720.0236259857"/>
        <n v="167600.65093574603"/>
        <n v="74375.78870786497"/>
        <n v="121456.52401919739"/>
        <n v="266054.36985679285"/>
        <n v="355343.87184090714"/>
        <n v="431325.6866936764"/>
        <n v="498895.6186453555"/>
        <n v="274093.57795911963"/>
        <n v="283981.1506886445"/>
        <n v="285838.55681476905"/>
        <n v="269807.6204390979"/>
        <n v="219110.39319645413"/>
        <n v="345449.5299468609"/>
        <n v="410385.0370093724"/>
        <n v="210461.38622248988"/>
        <n v="83999.59125393689"/>
        <n v="121640.37979023655"/>
        <n v="145443.04659183422"/>
        <n v="137725.8761104481"/>
        <n v="237672.0164167957"/>
        <n v="359621.07489373686"/>
        <n v="191390.4013103133"/>
        <n v="179871.05329942374"/>
        <n v="237123.34334010517"/>
        <n v="251493.90890012978"/>
        <n v="230994.3551988599"/>
        <n v="295854.55231599195"/>
        <n v="362223.1608767092"/>
        <n v="167421.9736951709"/>
        <n v="312784.97431839356"/>
        <n v="338299.6178454863"/>
        <n v="249584.21516385436"/>
        <n v="364396.19424887956"/>
        <n v="124363.55727660947"/>
        <n v="76876.4926983143"/>
        <n v="64616.07664627437"/>
        <n v="123500.78778967516"/>
        <n v="175378.1459152207"/>
        <n v="227060.26267849398"/>
        <n v="353929.7383549917"/>
        <n v="121448.2838171389"/>
        <n v="285675.8457131606"/>
        <n v="179308.94953055488"/>
        <n v="299576.2413696627"/>
        <n v="234642.08574813223"/>
        <n v="91610.5600019723"/>
        <n v="68988.86125910636"/>
        <n v="99021.68292069217"/>
        <n v="124963.46551384707"/>
        <n v="84299.28823998044"/>
        <n v="112550.43230873269"/>
        <n v="92226.51809575803"/>
        <n v="62760.35683146228"/>
        <n v="57191.43931779157"/>
        <n v="139244.8957677091"/>
        <n v="177577.28721349483"/>
        <n v="86018.18960551938"/>
        <n v="89961.35950377268"/>
        <n v="65453.27639155451"/>
        <n v="182351.1388452415"/>
        <n v="61894.26256053051"/>
        <n v="294322.9271827347"/>
        <n v="346093.067004291"/>
        <n v="163505.71301989807"/>
        <n v="234621.5988597088"/>
        <n v="221931.5800527438"/>
        <n v="231730.23274989825"/>
        <n v="210639.84818927525"/>
        <n v="437198.92957971455"/>
        <n v="561872.2060329898"/>
        <n v="238662.19210478582"/>
        <n v="371177.1868830317"/>
        <n v="295645.6291087982"/>
        <n v="280392.2735999451"/>
        <n v="209372.29223082794"/>
        <n v="345287.8114965794"/>
        <n v="393884.43303565035"/>
        <n v="185040.81733893292"/>
        <n v="221372.8369468323"/>
        <n v="74682.26681809923"/>
        <n v="66379.56360437386"/>
        <n v="55491.33852937348"/>
        <n v="129583.49206739766"/>
        <n v="150538.9836831414"/>
        <n v="76378.50463806391"/>
        <n v="108669.22538125701"/>
        <n v="68269.24883841071"/>
        <n v="167521.52586053708"/>
        <n v="61492.9683081792"/>
        <n v="143446.35832758574"/>
        <n v="345446.00184870965"/>
        <n v="86455.49437804356"/>
        <n v="75960.71802194037"/>
        <n v="49071.80253789717"/>
        <n v="81738.0564373136"/>
        <n v="162597.49684526818"/>
        <n v="183103.23368799078"/>
        <n v="210032.7880785589"/>
        <n v="129938.7057703585"/>
        <n v="160332.58940603075"/>
        <n v="182962.33699647625"/>
        <n v="174428.68089167497"/>
        <n v="131961.9325082891"/>
        <n v="144039.41368270025"/>
        <n v="153377.51203867735"/>
        <n v="74332.27948422423"/>
        <n v="95167.52873204894"/>
        <n v="62342.881166359926"/>
        <n v="35918.3351533292"/>
        <n v="35108.20010653677"/>
        <n v="73051.67554254536"/>
        <n v="74962.81639703603"/>
        <n v="34962.83050418418"/>
        <n v="42368.045353504094"/>
        <n v="52263.05698822664"/>
        <n v="39495.45590150327"/>
        <n v="32292.83760206842"/>
        <n v="73746.75871153858"/>
        <n v="87451.56617578123"/>
        <n v="51625.51171778529"/>
        <n v="45187.64157572069"/>
        <n v="62023.88129770006"/>
        <n v="81472.82717598933"/>
        <n v="259298.45661843685"/>
        <n v="222208.35038080392"/>
        <n v="161434.81509850454"/>
        <n v="57681.56988493392"/>
        <n v="85022.38092018059"/>
        <n v="84595.21793480593"/>
        <n v="68427.59466606575"/>
        <n v="138589.10006426295"/>
        <n v="245358.62998053385"/>
        <n v="205442.82809681172"/>
        <n v="95543.13364619676"/>
        <n v="130700.18894200736"/>
        <n v="79969.51054529301"/>
        <n v="50800.008514759305"/>
        <n v="171592.12587915736"/>
        <n v="291378.5798027745"/>
        <n v="298164.41609707446"/>
        <n v="113609.3042530743"/>
        <n v="142022.81259344588"/>
        <n v="132714.9602041004"/>
        <n v="132889.05689693728"/>
        <n v="172225.65270563864"/>
        <n v="373200.30598406313"/>
        <n v="345338.62806920626"/>
        <n v="175167.42875982972"/>
        <n v="159828.76503430534"/>
        <n v="133726.28056152482"/>
        <n v="179020.54245850776"/>
        <n v="182485.09893705396"/>
        <n v="380098.15640387445"/>
        <n v="455415.3493280298"/>
        <n v="202391.17869529044"/>
        <n v="273255.0985307931"/>
        <n v="302469.8319752347"/>
        <n v="337931.1169661971"/>
        <n v="276852.1799425774"/>
        <n v="489215.06753789564"/>
        <n v="598925.6678887007"/>
        <n v="380511.1591581091"/>
        <n v="304997.8518168963"/>
        <n v="319786.3594685611"/>
        <n v="305506.9982349475"/>
        <n v="254527.4155055261"/>
        <n v="364361.03286413854"/>
        <n v="414644.62349081144"/>
        <n v="148731.09052730413"/>
        <n v="57741.73890751255"/>
        <n v="37112.98505699026"/>
        <n v="30393.74011981647"/>
        <n v="23570.159155417456"/>
        <n v="69078.71414454262"/>
        <n v="71426.0116447103"/>
        <n v="44611.939679509764"/>
        <n v="37139.30825688985"/>
        <n v="33890.36043249631"/>
        <n v="29884.330589367586"/>
        <n v="34229.631915798505"/>
        <n v="83926.00349883473"/>
        <n v="86179.5133871843"/>
        <n v="53463.73455783506"/>
        <n v="59948.43870753554"/>
        <n v="117414.69892968478"/>
        <n v="268974.57069396524"/>
        <n v="223289.08457385484"/>
        <n v="386499.8964291865"/>
        <n v="421674.1018697652"/>
        <n v="216777.31572566376"/>
        <n v="183715.80719950752"/>
        <n v="274386.0154347705"/>
        <n v="391923.65961429186"/>
        <n v="295548.24164090335"/>
        <n v="396324.1786662704"/>
        <n v="426466.1321765913"/>
        <n v="218408.1820732757"/>
        <n v="188629.75422590197"/>
        <n v="60910.748400180244"/>
        <n v="173292.68113445412"/>
        <n v="143791.47808201626"/>
        <n v="261502.381778564"/>
        <n v="311853.52053473576"/>
        <n v="143346.67460602426"/>
        <n v="134950.56648943006"/>
        <n v="111173.15847846522"/>
        <n v="237934.73415063298"/>
        <n v="209095.56974137688"/>
        <n v="341253.32963499136"/>
        <n v="327672.04148404143"/>
        <n v="139385.87617680742"/>
        <n v="148953.9108532149"/>
        <n v="127533.0092765032"/>
        <n v="34559.084522627534"/>
        <n v="155659.53374373456"/>
        <n v="422372.5815807003"/>
        <n v="498910.32902054384"/>
        <n v="240449.62229152222"/>
        <n v="274426.0802778933"/>
        <n v="217104.57971570615"/>
        <n v="229023.8107396958"/>
        <n v="305894.1800948237"/>
        <n v="517742.1925975364"/>
        <n v="490487.0246492626"/>
        <n v="261534.91203924708"/>
        <n v="304052.47699526703"/>
        <n v="237026.35054084624"/>
        <n v="219722.8949500477"/>
        <n v="59598.917800192394"/>
        <n v="74654.52041929681"/>
        <n v="67367.38324040257"/>
        <n v="34091.5696624407"/>
        <n v="39231.195372207745"/>
        <n v="31574.325469600975"/>
        <n v="28489.081398148788"/>
        <n v="26053.796718671532"/>
        <n v="68788.09453638473"/>
        <n v="81655.85773085873"/>
        <n v="38809.808900032534"/>
        <n v="44222.78447663398"/>
        <n v="32436.795965171274"/>
        <n v="36607.39065637653"/>
        <n v="30133.31863966587"/>
        <n v="52384.44748299273"/>
        <n v="66113.83203755615"/>
        <n v="35019.112638998406"/>
        <n v="36887.36617189064"/>
        <n v="37604.658419582855"/>
        <n v="58196.145986195355"/>
        <n v="44544.63074310132"/>
        <n v="80346.69413385824"/>
        <n v="81874.28886350773"/>
        <n v="51145.403341245634"/>
        <n v="55946.05655907712"/>
        <n v="60629.552999890904"/>
        <n v="41610.78393994882"/>
        <n v="39783.36066805456"/>
        <n v="63386.49259136123"/>
        <n v="61500.57464854112"/>
        <n v="25872.488354075816"/>
        <n v="32490.136024940544"/>
        <n v="26577.079448522585"/>
        <n v="155135.62911183573"/>
        <n v="103826.70141247108"/>
        <n v="220379.2766765564"/>
        <n v="281658.41831912263"/>
        <n v="129601.52722661885"/>
        <n v="168580.17057143938"/>
        <n v="119758.06170346799"/>
        <n v="128298.34345694912"/>
        <n v="117374.19157936038"/>
        <n v="241090.13355630502"/>
        <n v="262145.17733741977"/>
        <n v="143734.2272151709"/>
        <n v="133350.1613822288"/>
        <n v="37649.38752799952"/>
        <n v="127699.41591139579"/>
        <n v="240429.6855472034"/>
        <n v="358772.2503641095"/>
        <n v="376755.564483526"/>
        <n v="163401.3291540589"/>
        <n v="169479.10605406525"/>
        <n v="142299.91779184836"/>
        <n v="250572.45338779487"/>
        <n v="333030.87570402725"/>
        <n v="392493.08269182255"/>
        <n v="391842.5013978032"/>
        <n v="222163.72890927366"/>
        <n v="242589.58721854398"/>
        <n v="164108.82644458604"/>
        <n v="43830.1968528723"/>
        <n v="37391.68088945611"/>
        <n v="69612.12670188746"/>
        <n v="76591.852917485"/>
        <n v="44014.232018730225"/>
        <n v="46884.14250808781"/>
        <n v="27398.588126893694"/>
        <n v="18375.05260769784"/>
        <n v="36464.759814940684"/>
        <n v="62545.19068453311"/>
        <n v="89572.40761502521"/>
        <n v="44593.79688339527"/>
        <n v="41660.44042608371"/>
        <n v="34031.14948711513"/>
        <n v="44832.21259897724"/>
        <n v="37565.47859092765"/>
        <n v="131964.51579369855"/>
        <n v="135498.16319719428"/>
        <n v="64758.50417358045"/>
        <n v="60179.02084931651"/>
        <n v="52812.7825145229"/>
        <n v="57168.56049843288"/>
        <n v="55187.3839062719"/>
        <n v="151036.44551858705"/>
        <n v="201416.83759006465"/>
        <n v="113346.95726852612"/>
        <n v="126506.34468214824"/>
        <n v="85491.83324442239"/>
        <n v="69675.42915398542"/>
        <n v="61976.3057914763"/>
        <n v="77446.6094358004"/>
        <n v="81209.24834701055"/>
        <n v="45607.23409969739"/>
        <n v="44983.77730244202"/>
        <n v="31885.28845033081"/>
        <n v="27817.642466410718"/>
        <n v="19704.093150736488"/>
        <n v="62070.75118430003"/>
        <n v="83371.81702135009"/>
        <n v="52701.29461381235"/>
        <n v="51764.93737177276"/>
        <n v="37288.62454527868"/>
        <n v="33678.45927128807"/>
        <n v="35038.06869162933"/>
        <n v="86810.2775334347"/>
        <n v="95930.01651468943"/>
        <n v="49990.51928931798"/>
        <n v="36347.698715160215"/>
        <n v="63452.76103781372"/>
        <n v="56100.874288607934"/>
        <n v="48201.94097574902"/>
        <n v="92657.69952509602"/>
        <n v="113187.84602297534"/>
        <n v="61233.71887418509"/>
        <n v="62316.15133820178"/>
        <n v="110698.74289754208"/>
        <n v="86203.87520371946"/>
        <n v="89413.41596601909"/>
        <n v="156675.59012440423"/>
        <n v="189394.69373774898"/>
        <n v="102250.16777596818"/>
        <n v="105978.48247831277"/>
        <n v="94692.47928942801"/>
        <n v="77081.66057395043"/>
        <n v="67551.25097109293"/>
        <n v="152555.41733723058"/>
        <n v="156263.14947390973"/>
        <n v="93112.60890927333"/>
        <n v="83068.26902650717"/>
        <n v="88104.20453040046"/>
        <n v="71428.8700021723"/>
      </sharedItems>
    </cacheField>
    <cacheField name="Quantity Sold" numFmtId="0">
      <sharedItems containsSemiMixedTypes="0" containsString="0" containsNumber="1" containsInteger="1">
        <n v="6827.0"/>
        <n v="9268.0"/>
        <n v="2678.0"/>
        <n v="6175.0"/>
        <n v="10084.0"/>
        <n v="9470.0"/>
        <n v="5524.0"/>
        <n v="9448.0"/>
        <n v="6911.0"/>
        <n v="2990.0"/>
        <n v="3159.0"/>
        <n v="4246.0"/>
        <n v="4297.0"/>
        <n v="2796.0"/>
        <n v="3369.0"/>
        <n v="2348.0"/>
        <n v="2903.0"/>
        <n v="2491.0"/>
        <n v="3968.0"/>
        <n v="4393.0"/>
        <n v="2176.0"/>
        <n v="2443.0"/>
        <n v="2638.0"/>
        <n v="1704.0"/>
        <n v="1872.0"/>
        <n v="3423.0"/>
        <n v="4544.0"/>
        <n v="2426.0"/>
        <n v="2117.0"/>
        <n v="1476.0"/>
        <n v="1974.0"/>
        <n v="1892.0"/>
        <n v="4030.0"/>
        <n v="5304.0"/>
        <n v="3320.0"/>
        <n v="4191.0"/>
        <n v="3809.0"/>
        <n v="5764.0"/>
        <n v="3028.0"/>
        <n v="9284.0"/>
        <n v="9737.0"/>
        <n v="4163.0"/>
        <n v="4552.0"/>
        <n v="4172.0"/>
        <n v="5037.0"/>
        <n v="4259.0"/>
        <n v="10381.0"/>
        <n v="11332.0"/>
        <n v="4127.0"/>
        <n v="4649.0"/>
        <n v="1627.0"/>
        <n v="3281.0"/>
        <n v="2310.0"/>
        <n v="9802.0"/>
        <n v="9772.0"/>
        <n v="4270.0"/>
        <n v="4106.0"/>
        <n v="6937.0"/>
        <n v="6934.0"/>
        <n v="11082.0"/>
        <n v="20805.0"/>
        <n v="26410.0"/>
        <n v="15004.0"/>
        <n v="16884.0"/>
        <n v="9789.0"/>
        <n v="8079.0"/>
        <n v="5072.0"/>
        <n v="14551.0"/>
        <n v="16262.0"/>
        <n v="7014.0"/>
        <n v="8932.0"/>
        <n v="5737.0"/>
        <n v="5903.0"/>
        <n v="5056.0"/>
        <n v="12167.0"/>
        <n v="15971.0"/>
        <n v="6968.0"/>
        <n v="7494.0"/>
        <n v="2707.0"/>
        <n v="2637.0"/>
        <n v="5149.0"/>
        <n v="5735.0"/>
        <n v="4936.0"/>
        <n v="2003.0"/>
        <n v="2323.0"/>
        <n v="3822.0"/>
        <n v="3666.0"/>
        <n v="3543.0"/>
        <n v="8130.0"/>
        <n v="10518.0"/>
        <n v="4791.0"/>
        <n v="5583.0"/>
        <n v="7155.0"/>
        <n v="4575.0"/>
        <n v="3997.0"/>
        <n v="5558.0"/>
        <n v="6320.0"/>
        <n v="3447.0"/>
        <n v="3854.0"/>
        <n v="3394.0"/>
        <n v="3563.0"/>
        <n v="5380.0"/>
        <n v="9573.0"/>
        <n v="11250.0"/>
        <n v="4990.0"/>
        <n v="5810.0"/>
        <n v="7497.0"/>
        <n v="8821.0"/>
        <n v="18366.0"/>
        <n v="13940.0"/>
        <n v="10814.0"/>
        <n v="3429.0"/>
        <n v="4834.0"/>
        <n v="5475.0"/>
        <n v="3121.0"/>
        <n v="2809.0"/>
        <n v="8537.0"/>
        <n v="8209.0"/>
        <n v="3592.0"/>
        <n v="3576.0"/>
        <n v="3807.0"/>
        <n v="4398.0"/>
        <n v="5124.0"/>
        <n v="4581.0"/>
        <n v="3697.0"/>
        <n v="2642.0"/>
        <n v="3154.0"/>
        <n v="3324.0"/>
        <n v="2677.0"/>
        <n v="2683.0"/>
        <n v="9328.0"/>
        <n v="13306.0"/>
        <n v="6173.0"/>
        <n v="5653.0"/>
        <n v="4503.0"/>
        <n v="6253.0"/>
        <n v="8408.0"/>
        <n v="12949.0"/>
        <n v="15508.0"/>
        <n v="5141.0"/>
        <n v="5194.0"/>
        <n v="5550.0"/>
        <n v="6070.0"/>
        <n v="3421.0"/>
        <n v="13384.0"/>
        <n v="18356.0"/>
        <n v="6500.0"/>
        <n v="6752.0"/>
        <n v="7023.0"/>
        <n v="7579.0"/>
        <n v="6448.0"/>
        <n v="15637.0"/>
        <n v="18775.0"/>
        <n v="14188.0"/>
        <n v="13256.0"/>
        <n v="10223.0"/>
        <n v="8904.0"/>
        <n v="5783.0"/>
        <n v="9005.0"/>
        <n v="12222.0"/>
        <n v="6037.0"/>
        <n v="6607.0"/>
        <n v="5857.0"/>
        <n v="5429.0"/>
        <n v="6232.0"/>
        <n v="14585.0"/>
        <n v="14745.0"/>
        <n v="6991.0"/>
        <n v="5788.0"/>
        <n v="6632.0"/>
        <n v="5752.0"/>
        <n v="3578.0"/>
        <n v="6119.0"/>
        <n v="6161.0"/>
        <n v="4015.0"/>
        <n v="4133.0"/>
        <n v="1047.0"/>
        <n v="1601.0"/>
        <n v="1592.0"/>
        <n v="3759.0"/>
        <n v="1772.0"/>
        <n v="2672.0"/>
        <n v="5143.0"/>
        <n v="2667.0"/>
        <n v="2799.0"/>
        <n v="3355.0"/>
        <n v="2002.0"/>
        <n v="1967.0"/>
        <n v="3094.0"/>
        <n v="2335.0"/>
        <n v="2968.0"/>
        <n v="3825.0"/>
        <n v="2833.0"/>
        <n v="1419.0"/>
        <n v="2151.0"/>
        <n v="3148.0"/>
        <n v="4825.0"/>
        <n v="2307.0"/>
        <n v="3557.0"/>
        <n v="7485.0"/>
        <n v="2428.0"/>
        <n v="2475.0"/>
        <n v="1618.0"/>
        <n v="5106.0"/>
        <n v="2729.0"/>
        <n v="15897.0"/>
        <n v="17343.0"/>
        <n v="8207.0"/>
        <n v="9018.0"/>
        <n v="6548.0"/>
        <n v="6102.0"/>
        <n v="9108.0"/>
        <n v="18867.0"/>
        <n v="19384.0"/>
        <n v="9473.0"/>
        <n v="11170.0"/>
        <n v="8091.0"/>
        <n v="2303.0"/>
        <n v="2947.0"/>
        <n v="13542.0"/>
        <n v="12588.0"/>
        <n v="6032.0"/>
        <n v="7158.0"/>
        <n v="5863.0"/>
        <n v="6092.0"/>
        <n v="5485.0"/>
        <n v="14587.0"/>
        <n v="16686.0"/>
        <n v="7380.0"/>
        <n v="7864.0"/>
        <n v="4941.0"/>
        <n v="5151.0"/>
        <n v="4928.0"/>
        <n v="11309.0"/>
        <n v="13613.0"/>
        <n v="6424.0"/>
        <n v="9493.0"/>
        <n v="7619.0"/>
        <n v="8909.0"/>
        <n v="8400.0"/>
        <n v="19317.0"/>
        <n v="23310.0"/>
        <n v="11646.0"/>
        <n v="19366.0"/>
        <n v="15291.0"/>
        <n v="15100.0"/>
        <n v="10164.0"/>
        <n v="16310.0"/>
        <n v="17985.0"/>
        <n v="7620.0"/>
        <n v="7958.0"/>
        <n v="3503.0"/>
        <n v="2247.0"/>
        <n v="2023.0"/>
        <n v="4242.0"/>
        <n v="4901.0"/>
        <n v="2467.0"/>
        <n v="3432.0"/>
        <n v="2375.0"/>
        <n v="2105.0"/>
        <n v="1982.0"/>
        <n v="3915.0"/>
        <n v="4383.0"/>
        <n v="2159.0"/>
        <n v="2592.0"/>
        <n v="3143.0"/>
        <n v="6457.0"/>
        <n v="11039.0"/>
        <n v="18036.0"/>
        <n v="19017.0"/>
        <n v="8747.0"/>
        <n v="8147.0"/>
        <n v="11036.0"/>
        <n v="18330.0"/>
        <n v="14503.0"/>
        <n v="15986.0"/>
        <n v="20223.0"/>
        <n v="8631.0"/>
        <n v="11579.0"/>
        <n v="2127.0"/>
        <n v="1923.0"/>
        <n v="4891.0"/>
        <n v="3758.0"/>
        <n v="1661.0"/>
        <n v="2360.0"/>
        <n v="1894.0"/>
        <n v="3548.0"/>
        <n v="2591.0"/>
        <n v="3293.0"/>
        <n v="4611.0"/>
        <n v="2468.0"/>
        <n v="2773.0"/>
        <n v="2815.0"/>
        <n v="2701.0"/>
        <n v="2651.0"/>
        <n v="6781.0"/>
        <n v="8249.0"/>
        <n v="3502.0"/>
        <n v="3949.0"/>
        <n v="2435.0"/>
        <n v="2232.0"/>
        <n v="1898.0"/>
        <n v="4537.0"/>
        <n v="6730.0"/>
        <n v="4038.0"/>
        <n v="5581.0"/>
        <n v="2519.0"/>
        <n v="1847.0"/>
        <n v="2309.0"/>
        <n v="3722.0"/>
        <n v="4268.0"/>
        <n v="1968.0"/>
        <n v="2016.0"/>
        <n v="1497.0"/>
        <n v="1314.0"/>
        <n v="1466.0"/>
        <n v="3984.0"/>
        <n v="4802.0"/>
        <n v="2017.0"/>
        <n v="2297.0"/>
        <n v="1665.0"/>
        <n v="1291.0"/>
        <n v="1361.0"/>
        <n v="1281.0"/>
        <n v="1122.0"/>
        <n v="737.0"/>
        <n v="641.0"/>
        <n v="968.0"/>
        <n v="709.0"/>
        <n v="880.0"/>
        <n v="1096.0"/>
        <n v="2068.0"/>
        <n v="2492.0"/>
        <n v="2170.0"/>
        <n v="1784.0"/>
        <n v="1368.0"/>
        <n v="1914.0"/>
        <n v="3765.0"/>
        <n v="2712.0"/>
        <n v="2222.0"/>
        <n v="1861.0"/>
        <n v="4095.0"/>
        <n v="4157.0"/>
        <n v="7259.0"/>
        <n v="9654.0"/>
        <n v="4632.0"/>
        <n v="7341.0"/>
        <n v="4308.0"/>
        <n v="3865.0"/>
        <n v="5288.0"/>
        <n v="7141.0"/>
        <n v="8268.0"/>
        <n v="4541.0"/>
        <n v="5014.0"/>
        <n v="7778.0"/>
        <n v="11809.0"/>
        <n v="3344.0"/>
        <n v="1169.0"/>
        <n v="2676.0"/>
        <n v="1677.0"/>
        <n v="3237.0"/>
        <n v="5607.0"/>
        <n v="9464.0"/>
        <n v="2905.0"/>
        <n v="6371.0"/>
        <n v="4624.0"/>
        <n v="5717.0"/>
        <n v="4705.0"/>
        <n v="2020.0"/>
        <n v="1868.0"/>
        <n v="3008.0"/>
        <n v="2934.0"/>
        <n v="1690.0"/>
        <n v="2058.0"/>
        <n v="1570.0"/>
        <n v="1446.0"/>
        <n v="1921.0"/>
        <n v="3629.0"/>
        <n v="4144.0"/>
        <n v="1815.0"/>
        <n v="2189.0"/>
        <n v="2376.0"/>
        <n v="1525.0"/>
        <n v="1616.0"/>
        <n v="3757.0"/>
        <n v="3855.0"/>
        <n v="1897.0"/>
        <n v="2230.0"/>
        <n v="1870.0"/>
        <n v="1455.0"/>
        <n v="1392.0"/>
        <n v="3268.0"/>
        <n v="4862.0"/>
        <n v="4165.0"/>
        <n v="3685.0"/>
        <n v="2479.0"/>
        <n v="2005.0"/>
        <n v="2082.0"/>
        <n v="2573.0"/>
        <n v="1774.0"/>
        <n v="2378.0"/>
        <n v="3677.0"/>
        <n v="4299.0"/>
        <n v="3674.0"/>
        <n v="9505.0"/>
        <n v="11237.0"/>
        <n v="5406.0"/>
        <n v="5846.0"/>
        <n v="3713.0"/>
        <n v="3827.0"/>
        <n v="7770.0"/>
        <n v="7102.0"/>
        <n v="3608.0"/>
        <n v="2150.0"/>
        <n v="2530.0"/>
        <n v="5253.0"/>
        <n v="4171.0"/>
        <n v="8156.0"/>
        <n v="9296.0"/>
        <n v="6803.0"/>
        <n v="6221.0"/>
        <n v="6611.0"/>
        <n v="6843.0"/>
        <n v="3858.0"/>
        <n v="7128.0"/>
        <n v="8127.0"/>
        <n v="2966.0"/>
        <n v="2858.0"/>
        <n v="1518.0"/>
        <n v="1386.0"/>
        <n v="1166.0"/>
        <n v="2853.0"/>
        <n v="3657.0"/>
        <n v="1631.0"/>
        <n v="1959.0"/>
        <n v="1230.0"/>
        <n v="1182.0"/>
        <n v="1050.0"/>
        <n v="2353.0"/>
        <n v="1626.0"/>
        <n v="1976.0"/>
        <n v="3312.0"/>
        <n v="6704.0"/>
        <n v="6077.0"/>
        <n v="9386.0"/>
        <n v="12181.0"/>
        <n v="5937.0"/>
        <n v="5706.0"/>
        <n v="9421.0"/>
        <n v="13207.0"/>
        <n v="18936.0"/>
        <n v="13503.0"/>
        <n v="10600.0"/>
        <n v="3591.0"/>
        <n v="4836.0"/>
        <n v="4348.0"/>
        <n v="2451.0"/>
        <n v="1814.0"/>
        <n v="2770.0"/>
        <n v="3072.0"/>
        <n v="1934.0"/>
        <n v="2019.0"/>
        <n v="979.0"/>
        <n v="1398.0"/>
        <n v="1198.0"/>
        <n v="2485.0"/>
        <n v="3172.0"/>
        <n v="1365.0"/>
        <n v="1353.0"/>
        <n v="3439.0"/>
        <n v="1434.0"/>
        <n v="8892.0"/>
        <n v="13144.0"/>
        <n v="5179.0"/>
        <n v="5150.0"/>
        <n v="9986.0"/>
        <n v="12937.0"/>
        <n v="12217.0"/>
        <n v="6721.0"/>
        <n v="8283.0"/>
        <n v="6191.0"/>
        <n v="5959.0"/>
        <n v="2848.0"/>
        <n v="8748.0"/>
        <n v="10329.0"/>
        <n v="4410.0"/>
        <n v="5257.0"/>
        <n v="5118.0"/>
        <n v="3952.0"/>
        <n v="10964.0"/>
        <n v="4695.0"/>
        <n v="5205.0"/>
        <n v="3638.0"/>
        <n v="4394.0"/>
        <n v="2012.0"/>
        <n v="8526.0"/>
        <n v="11096.0"/>
        <n v="4489.0"/>
        <n v="6795.0"/>
        <n v="5283.0"/>
        <n v="6453.0"/>
        <n v="5770.0"/>
        <n v="12507.0"/>
        <n v="14475.0"/>
        <n v="7009.0"/>
        <n v="11688.0"/>
        <n v="8863.0"/>
        <n v="7148.0"/>
        <n v="5326.0"/>
        <n v="7775.0"/>
        <n v="9255.0"/>
        <n v="4758.0"/>
        <n v="2613.0"/>
        <n v="1830.0"/>
        <n v="1694.0"/>
        <n v="1642.0"/>
        <n v="3690.0"/>
        <n v="4404.0"/>
        <n v="1992.0"/>
        <n v="2395.0"/>
        <n v="2120.0"/>
        <n v="1875.0"/>
        <n v="3376.0"/>
        <n v="4027.0"/>
        <n v="2128.0"/>
        <n v="2046.0"/>
        <n v="1546.0"/>
        <n v="2822.0"/>
        <n v="4865.0"/>
        <n v="8450.0"/>
        <n v="9770.0"/>
        <n v="4914.0"/>
        <n v="4385.0"/>
        <n v="5627.0"/>
        <n v="8086.0"/>
        <n v="6639.0"/>
        <n v="7104.0"/>
        <n v="8364.0"/>
        <n v="4146.0"/>
        <n v="4601.0"/>
        <n v="3593.0"/>
        <n v="2114.0"/>
        <n v="1797.0"/>
        <n v="3195.0"/>
        <n v="3595.0"/>
        <n v="1467.0"/>
        <n v="1610.0"/>
        <n v="1307.0"/>
        <n v="2050.0"/>
        <n v="1849.0"/>
        <n v="3070.0"/>
        <n v="3322.0"/>
        <n v="1787.0"/>
        <n v="1846.0"/>
        <n v="1142.0"/>
        <n v="1734.0"/>
        <n v="3259.0"/>
        <n v="3572.0"/>
        <n v="2109.0"/>
        <n v="2242.0"/>
        <n v="1474.0"/>
        <n v="1381.0"/>
        <n v="1423.0"/>
        <n v="3740.0"/>
        <n v="4453.0"/>
        <n v="2258.0"/>
        <n v="2074.0"/>
        <n v="2007.0"/>
        <n v="1948.0"/>
        <n v="1922.0"/>
        <n v="3088.0"/>
        <n v="3388.0"/>
        <n v="1944.0"/>
        <n v="1812.0"/>
        <n v="1563.0"/>
        <n v="1171.0"/>
        <n v="1035.0"/>
        <n v="3068.0"/>
        <n v="1866.0"/>
        <n v="922.0"/>
        <n v="604.0"/>
        <n v="643.0"/>
        <n v="2006.0"/>
        <n v="1528.0"/>
        <n v="6360.0"/>
        <n v="8035.0"/>
        <n v="6675.0"/>
        <n v="11330.0"/>
        <n v="13484.0"/>
        <n v="5913.0"/>
        <n v="9721.0"/>
        <n v="11257.0"/>
        <n v="10102.0"/>
        <n v="7938.0"/>
        <n v="9936.0"/>
        <n v="10643.0"/>
        <n v="4800.0"/>
        <n v="5228.0"/>
        <n v="1810.0"/>
        <n v="1961.0"/>
        <n v="1232.0"/>
        <n v="2194.0"/>
        <n v="1469.0"/>
        <n v="829.0"/>
        <n v="1329.0"/>
        <n v="1300.0"/>
        <n v="773.0"/>
        <n v="760.0"/>
        <n v="1755.0"/>
        <n v="1766.0"/>
        <n v="1078.0"/>
        <n v="1124.0"/>
        <n v="3725.0"/>
        <n v="4492.0"/>
        <n v="11030.0"/>
        <n v="10528.0"/>
        <n v="4895.0"/>
        <n v="5720.0"/>
        <n v="4288.0"/>
        <n v="9693.0"/>
        <n v="12065.0"/>
        <n v="11758.0"/>
        <n v="13508.0"/>
        <n v="6085.0"/>
        <n v="8828.0"/>
        <n v="6636.0"/>
        <n v="1622.0"/>
        <n v="1512.0"/>
        <n v="3211.0"/>
        <n v="3037.0"/>
        <n v="1456.0"/>
        <n v="1465.0"/>
        <n v="1018.0"/>
        <n v="1070.0"/>
        <n v="1357.0"/>
        <n v="2810.0"/>
        <n v="2829.0"/>
        <n v="1517.0"/>
        <n v="1399.0"/>
        <n v="1067.0"/>
        <n v="5042.0"/>
        <n v="6872.0"/>
        <n v="3218.0"/>
        <n v="3347.0"/>
        <n v="3177.0"/>
        <n v="4532.0"/>
        <n v="3231.0"/>
        <n v="7731.0"/>
        <n v="11148.0"/>
        <n v="7459.0"/>
        <n v="7316.0"/>
        <n v="5211.0"/>
        <n v="5731.0"/>
        <n v="3036.0"/>
        <n v="5822.0"/>
        <n v="7987.0"/>
        <n v="3640.0"/>
        <n v="2338.0"/>
        <n v="3744.0"/>
        <n v="4216.0"/>
        <n v="4000.0"/>
        <n v="10204.0"/>
        <n v="10769.0"/>
        <n v="4803.0"/>
        <n v="4342.0"/>
        <n v="4202.0"/>
        <n v="4151.0"/>
        <n v="8567.0"/>
        <n v="8811.0"/>
        <n v="4345.0"/>
        <n v="1937.0"/>
        <n v="3160.0"/>
        <n v="6924.0"/>
        <n v="9273.0"/>
        <n v="13019.0"/>
        <n v="7139.0"/>
        <n v="7423.0"/>
        <n v="7474.0"/>
        <n v="7056.0"/>
        <n v="5732.0"/>
        <n v="9038.0"/>
        <n v="10737.0"/>
        <n v="5505.0"/>
        <n v="2198.0"/>
        <n v="3190.0"/>
        <n v="3814.0"/>
        <n v="3610.0"/>
        <n v="6227.0"/>
        <n v="9422.0"/>
        <n v="4715.0"/>
        <n v="6212.0"/>
        <n v="6585.0"/>
        <n v="6051.0"/>
        <n v="7750.0"/>
        <n v="9490.0"/>
        <n v="4382.0"/>
        <n v="8196.0"/>
        <n v="6534.0"/>
        <n v="9540.0"/>
        <n v="3256.0"/>
        <n v="2013.0"/>
        <n v="1692.0"/>
        <n v="3234.0"/>
        <n v="4592.0"/>
        <n v="5945.0"/>
        <n v="9266.0"/>
        <n v="3179.0"/>
        <n v="7479.0"/>
        <n v="4694.0"/>
        <n v="7843.0"/>
        <n v="6150.0"/>
        <n v="2401.0"/>
        <n v="1808.0"/>
        <n v="2594.0"/>
        <n v="3274.0"/>
        <n v="2207.0"/>
        <n v="2949.0"/>
        <n v="2417.0"/>
        <n v="1644.0"/>
        <n v="1499.0"/>
        <n v="3648.0"/>
        <n v="4652.0"/>
        <n v="2252.0"/>
        <n v="2357.0"/>
        <n v="1715.0"/>
        <n v="4776.0"/>
        <n v="1628.0"/>
        <n v="7806.0"/>
        <n v="9210.0"/>
        <n v="4351.0"/>
        <n v="6278.0"/>
        <n v="5992.0"/>
        <n v="6265.0"/>
        <n v="5723.0"/>
        <n v="11900.0"/>
        <n v="15345.0"/>
        <n v="6525.0"/>
        <n v="10153.0"/>
        <n v="8116.0"/>
        <n v="7712.0"/>
        <n v="5759.0"/>
        <n v="9501.0"/>
        <n v="10840.0"/>
        <n v="5089.0"/>
        <n v="6087.0"/>
        <n v="2053.0"/>
        <n v="1825.0"/>
        <n v="3542.0"/>
        <n v="4105.0"/>
        <n v="2094.0"/>
        <n v="2940.0"/>
        <n v="1841.0"/>
        <n v="4529.0"/>
        <n v="1658.0"/>
        <n v="3841.0"/>
        <n v="9260.0"/>
        <n v="2308.0"/>
        <n v="2028.0"/>
        <n v="1301.0"/>
        <n v="2213.0"/>
        <n v="4935.0"/>
        <n v="5609.0"/>
        <n v="3452.0"/>
        <n v="4719.0"/>
        <n v="4451.0"/>
        <n v="3364.0"/>
        <n v="3665.0"/>
        <n v="3889.0"/>
        <n v="1882.0"/>
        <n v="2405.0"/>
        <n v="1577.0"/>
        <n v="913.0"/>
        <n v="892.0"/>
        <n v="1855.0"/>
        <n v="883.0"/>
        <n v="1071.0"/>
        <n v="1320.0"/>
        <n v="997.0"/>
        <n v="817.0"/>
        <n v="2211.0"/>
        <n v="1304.0"/>
        <n v="1143.0"/>
        <n v="1573.0"/>
        <n v="2065.0"/>
        <n v="6588.0"/>
        <n v="5652.0"/>
        <n v="4103.0"/>
        <n v="2162.0"/>
        <n v="2155.0"/>
        <n v="1746.0"/>
        <n v="3554.0"/>
        <n v="6282.0"/>
        <n v="5259.0"/>
        <n v="2446.0"/>
        <n v="3345.0"/>
        <n v="2048.0"/>
        <n v="1303.0"/>
        <n v="4413.0"/>
        <n v="7738.0"/>
        <n v="2958.0"/>
        <n v="3504.0"/>
        <n v="3534.0"/>
        <n v="10045.0"/>
        <n v="9301.0"/>
        <n v="4678.0"/>
        <n v="4294.0"/>
        <n v="3606.0"/>
        <n v="4838.0"/>
        <n v="10269.0"/>
        <n v="12317.0"/>
        <n v="5453.0"/>
        <n v="7372.0"/>
        <n v="8211.0"/>
        <n v="9182.0"/>
        <n v="7520.0"/>
        <n v="13321.0"/>
        <n v="16276.0"/>
        <n v="10388.0"/>
        <n v="8298.0"/>
        <n v="8717.0"/>
        <n v="9973.0"/>
        <n v="11363.0"/>
        <n v="4074.0"/>
        <n v="1579.0"/>
        <n v="1016.0"/>
        <n v="832.0"/>
        <n v="647.0"/>
        <n v="1224.0"/>
        <n v="1019.0"/>
        <n v="930.0"/>
        <n v="818.0"/>
        <n v="937.0"/>
        <n v="2302.0"/>
        <n v="2363.0"/>
        <n v="3224.0"/>
        <n v="7392.0"/>
        <n v="6138.0"/>
        <n v="10624.0"/>
        <n v="11590.0"/>
        <n v="5048.0"/>
        <n v="7542.0"/>
        <n v="10761.0"/>
        <n v="8120.0"/>
        <n v="10896.0"/>
        <n v="11726.0"/>
        <n v="6007.0"/>
        <n v="5185.0"/>
        <n v="1675.0"/>
        <n v="4765.0"/>
        <n v="3953.0"/>
        <n v="7190.0"/>
        <n v="8577.0"/>
        <n v="3943.0"/>
        <n v="3707.0"/>
        <n v="3054.0"/>
        <n v="6541.0"/>
        <n v="5749.0"/>
        <n v="9385.0"/>
        <n v="9012.0"/>
        <n v="3831.0"/>
        <n v="4097.0"/>
        <n v="3509.0"/>
        <n v="953.0"/>
        <n v="4305.0"/>
        <n v="11667.0"/>
        <n v="13793.0"/>
        <n v="6641.0"/>
        <n v="7593.0"/>
        <n v="6345.0"/>
        <n v="8482.0"/>
        <n v="14344.0"/>
        <n v="13609.0"/>
        <n v="8431.0"/>
        <n v="6577.0"/>
        <n v="6098.0"/>
        <n v="1654.0"/>
        <n v="2073.0"/>
        <n v="1871.0"/>
        <n v="946.0"/>
        <n v="1090.0"/>
        <n v="876.0"/>
        <n v="790.0"/>
        <n v="723.0"/>
        <n v="1910.0"/>
        <n v="2266.0"/>
        <n v="1227.0"/>
        <n v="900.0"/>
        <n v="836.0"/>
        <n v="1454.0"/>
        <n v="1835.0"/>
        <n v="972.0"/>
        <n v="1024.0"/>
        <n v="1044.0"/>
        <n v="1611.0"/>
        <n v="1234.0"/>
        <n v="2223.0"/>
        <n v="2267.0"/>
        <n v="1415.0"/>
        <n v="1548.0"/>
        <n v="1679.0"/>
        <n v="1152.0"/>
        <n v="1101.0"/>
        <n v="1700.0"/>
        <n v="715.0"/>
        <n v="897.0"/>
        <n v="733.0"/>
        <n v="4282.0"/>
        <n v="2867.0"/>
        <n v="6082.0"/>
        <n v="7771.0"/>
        <n v="3302.0"/>
        <n v="3536.0"/>
        <n v="3236.0"/>
        <n v="6646.0"/>
        <n v="7220.0"/>
        <n v="3958.0"/>
        <n v="3672.0"/>
        <n v="3549.0"/>
        <n v="6647.0"/>
        <n v="9908.0"/>
        <n v="10393.0"/>
        <n v="4507.0"/>
        <n v="4672.0"/>
        <n v="3924.0"/>
        <n v="6918.0"/>
        <n v="9183.0"/>
        <n v="10830.0"/>
        <n v="10800.0"/>
        <n v="6685.0"/>
        <n v="4519.0"/>
        <n v="1206.0"/>
        <n v="1029.0"/>
        <n v="1917.0"/>
        <n v="2108.0"/>
        <n v="1211.0"/>
        <n v="755.0"/>
        <n v="508.0"/>
        <n v="1010.0"/>
        <n v="1733.0"/>
        <n v="2482.0"/>
        <n v="1235.0"/>
        <n v="1155.0"/>
        <n v="940.0"/>
        <n v="1241.0"/>
        <n v="1039.0"/>
        <n v="1671.0"/>
        <n v="1462.0"/>
        <n v="1581.0"/>
        <n v="1534.0"/>
        <n v="5632.0"/>
        <n v="3173.0"/>
        <n v="3540.0"/>
        <n v="2397.0"/>
        <n v="1955.0"/>
        <n v="1740.0"/>
        <n v="2283.0"/>
        <n v="1284.0"/>
        <n v="1263.0"/>
        <n v="896.0"/>
        <n v="768.0"/>
        <n v="521.0"/>
        <n v="2147.0"/>
        <n v="1335.0"/>
        <n v="1332.0"/>
        <n v="954.0"/>
        <n v="877.0"/>
        <n v="906.0"/>
        <n v="2249.0"/>
        <n v="2472.0"/>
        <n v="1280.0"/>
        <n v="1650.0"/>
        <n v="1257.0"/>
        <n v="2929.0"/>
        <n v="1582.0"/>
        <n v="1639.0"/>
        <n v="2971.0"/>
        <n v="2284.0"/>
        <n v="3938.0"/>
        <n v="4720.0"/>
        <n v="2537.0"/>
        <n v="2621.0"/>
        <n v="2341.0"/>
        <n v="1901.0"/>
        <n v="1666.0"/>
        <n v="3748.0"/>
        <n v="3843.0"/>
        <n v="2281.0"/>
        <n v="2181.0"/>
        <n v="1763.0"/>
      </sharedItems>
    </cacheField>
    <cacheField name="daily_sales_price_per_unit" numFmtId="0">
      <sharedItems containsSemiMixedTypes="0" containsString="0" containsNumber="1">
        <n v="32.8"/>
        <n v="32.41"/>
        <n v="32.42"/>
        <n v="32.44"/>
        <n v="32.43"/>
        <n v="34.06"/>
        <n v="34.13"/>
        <n v="34.11"/>
        <n v="34.1"/>
        <n v="34.08"/>
        <n v="34.14"/>
        <n v="34.12"/>
        <n v="34.09"/>
        <n v="33.92"/>
        <n v="34.18"/>
        <n v="34.17"/>
        <n v="34.16"/>
        <n v="32.47"/>
        <n v="33.79"/>
        <n v="32.48"/>
        <n v="32.46"/>
        <n v="32.45"/>
        <n v="31.64"/>
        <n v="31.07"/>
        <n v="31.81"/>
        <n v="32.06"/>
        <n v="31.92"/>
        <n v="31.91"/>
        <n v="31.7"/>
        <n v="31.74"/>
        <n v="33.08"/>
        <n v="31.98"/>
        <n v="31.99"/>
        <n v="32.04"/>
        <n v="32.05"/>
        <n v="32.62"/>
        <n v="32.57"/>
        <n v="32.54"/>
        <n v="32.52"/>
        <n v="35.04"/>
        <n v="35.03"/>
        <n v="34.07"/>
        <n v="33.72"/>
        <n v="33.97"/>
        <n v="33.98"/>
        <n v="34.2"/>
        <n v="34.02"/>
        <n v="34.03"/>
        <n v="34.29"/>
        <n v="34.35"/>
        <n v="34.58"/>
        <n v="34.23"/>
        <n v="33.33"/>
        <n v="33.32"/>
        <n v="33.34"/>
        <n v="33.35"/>
        <n v="34.64"/>
        <n v="34.72"/>
        <n v="34.79"/>
        <n v="34.63"/>
        <n v="35.21"/>
        <n v="35.19"/>
        <n v="35.77"/>
        <n v="35.55"/>
        <n v="35.23"/>
        <n v="35.16"/>
        <n v="35.92"/>
        <n v="34.26"/>
        <n v="35.91"/>
        <n v="32.51"/>
        <n v="32.16"/>
        <n v="32.13"/>
        <n v="32.07"/>
        <n v="32.37"/>
        <n v="32.09"/>
        <n v="32.11"/>
        <n v="33.75"/>
        <n v="32.17"/>
        <n v="32.18"/>
        <n v="32.31"/>
        <n v="32.2"/>
        <n v="32.14"/>
        <n v="32.12"/>
        <n v="32.0"/>
        <n v="32.1"/>
        <n v="32.03"/>
        <n v="31.79"/>
        <n v="33.2"/>
        <n v="33.01"/>
        <n v="33.61"/>
        <n v="33.46"/>
        <n v="35.05"/>
        <n v="33.31"/>
        <n v="33.37"/>
        <n v="31.87"/>
        <n v="30.84"/>
        <n v="30.72"/>
        <n v="30.75"/>
        <n v="30.76"/>
        <n v="30.7"/>
        <n v="30.73"/>
        <n v="36.72"/>
        <n v="36.67"/>
        <n v="36.77"/>
        <n v="36.73"/>
        <n v="36.75"/>
        <n v="36.78"/>
        <n v="36.76"/>
        <n v="36.68"/>
        <n v="36.7"/>
        <n v="36.8"/>
        <n v="39.4"/>
        <n v="39.39"/>
        <n v="37.62"/>
        <n v="37.66"/>
        <n v="37.75"/>
        <n v="37.61"/>
        <n v="37.54"/>
        <n v="37.6"/>
        <n v="37.63"/>
        <n v="37.58"/>
        <n v="37.59"/>
        <n v="37.5"/>
        <n v="42.13"/>
        <n v="42.33"/>
        <n v="42.36"/>
        <n v="41.92"/>
        <n v="41.87"/>
        <n v="42.84"/>
        <n v="42.93"/>
        <n v="42.72"/>
        <n v="42.71"/>
        <n v="42.54"/>
        <n v="42.18"/>
        <n v="40.65"/>
        <n v="40.13"/>
        <n v="40.2"/>
        <n v="40.69"/>
        <n v="39.94"/>
        <n v="38.6"/>
        <n v="40.56"/>
        <n v="40.53"/>
        <n v="39.52"/>
        <n v="38.15"/>
        <n v="38.45"/>
        <n v="38.26"/>
        <n v="38.32"/>
        <n v="38.54"/>
        <n v="38.53"/>
        <n v="38.27"/>
        <n v="38.42"/>
        <n v="38.24"/>
        <n v="38.28"/>
        <n v="40.8"/>
        <n v="40.68"/>
        <n v="41.17"/>
        <n v="41.15"/>
        <n v="41.18"/>
        <n v="38.59"/>
        <n v="38.57"/>
        <n v="38.61"/>
        <n v="38.58"/>
        <n v="38.56"/>
        <n v="41.16"/>
        <n v="41.19"/>
        <n v="37.71"/>
        <n v="37.72"/>
        <n v="37.7"/>
        <n v="37.73"/>
        <n v="37.69"/>
        <n v="40.33"/>
        <n v="37.74"/>
        <n v="37.77"/>
        <n v="37.84"/>
        <n v="37.76"/>
        <n v="37.79"/>
        <n v="40.67"/>
        <n v="41.65"/>
        <n v="41.69"/>
        <n v="41.74"/>
        <n v="41.82"/>
        <n v="41.88"/>
        <n v="41.94"/>
        <n v="41.93"/>
        <n v="42.04"/>
        <n v="42.06"/>
        <n v="38.64"/>
        <n v="37.8"/>
        <n v="38.69"/>
        <n v="38.7"/>
        <n v="38.63"/>
        <n v="38.62"/>
        <n v="38.67"/>
        <n v="38.75"/>
        <n v="37.92"/>
        <n v="37.82"/>
        <n v="42.05"/>
        <n v="42.02"/>
        <n v="42.03"/>
        <n v="42.01"/>
        <n v="41.95"/>
        <n v="42.0"/>
        <n v="37.78"/>
        <n v="39.41"/>
        <n v="39.43"/>
        <n v="39.6"/>
        <n v="39.15"/>
        <n v="39.34"/>
        <n v="39.21"/>
        <n v="39.18"/>
        <n v="38.89"/>
        <n v="38.83"/>
        <n v="38.96"/>
        <n v="39.13"/>
        <n v="38.99"/>
        <n v="38.8"/>
        <n v="38.52"/>
        <n v="38.81"/>
        <n v="38.73"/>
        <n v="38.65"/>
        <n v="38.74"/>
        <n v="38.78"/>
        <n v="38.92"/>
        <n v="39.04"/>
        <n v="39.12"/>
        <n v="38.97"/>
        <n v="38.84"/>
        <n v="38.51"/>
        <n v="38.17"/>
        <n v="38.13"/>
        <n v="38.18"/>
        <n v="38.23"/>
        <n v="38.08"/>
        <n v="38.1"/>
        <n v="38.14"/>
        <n v="38.47"/>
        <n v="38.5"/>
        <n v="38.19"/>
        <n v="38.9"/>
        <n v="34.28"/>
        <n v="34.27"/>
        <n v="34.21"/>
        <n v="34.24"/>
        <n v="34.32"/>
        <n v="34.22"/>
        <n v="38.76"/>
        <n v="39.29"/>
        <n v="39.17"/>
        <n v="39.06"/>
        <n v="39.25"/>
        <n v="39.23"/>
        <n v="39.03"/>
        <n v="39.07"/>
        <n v="39.42"/>
        <n v="33.4"/>
        <n v="33.36"/>
        <n v="33.38"/>
        <n v="33.48"/>
        <n v="39.44"/>
        <n v="36.84"/>
        <n v="36.83"/>
        <n v="36.86"/>
        <n v="36.85"/>
        <n v="35.15"/>
        <n v="36.88"/>
        <n v="35.13"/>
        <n v="35.14"/>
        <n v="35.09"/>
        <n v="40.31"/>
        <n v="35.11"/>
        <n v="35.08"/>
        <n v="35.06"/>
        <n v="35.1"/>
        <n v="35.12"/>
        <n v="33.59"/>
        <n v="33.39"/>
        <n v="33.43"/>
        <n v="35.07"/>
        <n v="35.25"/>
        <n v="35.5"/>
        <n v="37.04"/>
        <n v="36.89"/>
        <n v="35.39"/>
        <n v="36.98"/>
        <n v="36.87"/>
        <n v="35.46"/>
        <n v="35.61"/>
        <n v="35.33"/>
        <n v="35.3"/>
        <n v="35.56"/>
        <n v="35.44"/>
        <n v="35.29"/>
        <n v="41.07"/>
        <n v="41.11"/>
        <n v="41.12"/>
        <n v="41.09"/>
        <n v="41.13"/>
        <n v="41.14"/>
        <n v="33.42"/>
        <n v="34.25"/>
        <n v="33.44"/>
        <n v="33.41"/>
        <n v="34.34"/>
        <n v="34.31"/>
        <n v="41.99"/>
        <n v="41.98"/>
        <n v="36.55"/>
        <n v="39.11"/>
        <n v="38.46"/>
        <n v="37.9"/>
        <n v="38.38"/>
        <n v="42.08"/>
        <n v="41.9"/>
        <n v="41.1"/>
        <n v="39.84"/>
        <n v="40.36"/>
        <n v="39.71"/>
        <n v="39.81"/>
        <n v="39.37"/>
        <n v="36.91"/>
        <n v="37.0"/>
        <n v="37.24"/>
        <n v="37.09"/>
        <n v="39.35"/>
        <n v="40.0"/>
        <n v="42.07"/>
        <n v="35.26"/>
        <n v="35.24"/>
        <n v="35.2"/>
        <n v="34.39"/>
        <n v="34.15"/>
        <n v="34.19"/>
        <n v="34.3"/>
        <n v="33.45"/>
        <n v="34.83"/>
        <n v="34.42"/>
        <n v="35.0"/>
        <n v="34.74"/>
        <n v="34.59"/>
        <n v="34.61"/>
        <n v="34.62"/>
        <n v="34.48"/>
        <n v="34.69"/>
        <n v="33.93"/>
        <n v="40.34"/>
        <n v="40.32"/>
        <n v="40.3"/>
        <n v="40.35"/>
        <n v="37.19"/>
        <n v="37.17"/>
        <n v="37.02"/>
        <n v="37.37"/>
        <n v="40.39"/>
        <n v="42.87"/>
        <n v="42.92"/>
        <n v="42.96"/>
        <n v="42.66"/>
        <n v="42.69"/>
        <n v="42.74"/>
        <n v="42.76"/>
        <n v="42.67"/>
        <n v="42.61"/>
        <n v="42.7"/>
        <n v="42.68"/>
        <n v="42.73"/>
        <n v="42.82"/>
        <n v="42.75"/>
        <n v="42.8"/>
        <n v="42.94"/>
        <n v="42.95"/>
        <n v="43.79"/>
        <n v="43.81"/>
      </sharedItems>
    </cacheField>
    <cacheField name="daily_cost_price_per_unit" numFmtId="0">
      <sharedItems containsSemiMixedTypes="0" containsString="0" containsNumber="1">
        <n v="33.7"/>
        <n v="33.12"/>
        <n v="32.86"/>
        <n v="33.1"/>
        <n v="33.14"/>
        <n v="33.18"/>
        <n v="33.21"/>
        <n v="33.24"/>
        <n v="33.29"/>
        <n v="33.32"/>
        <n v="33.31"/>
        <n v="33.3"/>
        <n v="33.26"/>
        <n v="33.47"/>
        <n v="33.46"/>
        <n v="33.44"/>
        <n v="33.45"/>
        <n v="33.48"/>
        <n v="33.51"/>
        <n v="33.54"/>
        <n v="33.58"/>
        <n v="33.59"/>
        <n v="33.63"/>
        <n v="33.72"/>
        <n v="33.65"/>
        <n v="33.64"/>
        <n v="33.57"/>
        <n v="33.53"/>
        <n v="33.73"/>
        <n v="33.84"/>
        <n v="33.68"/>
        <n v="33.77"/>
        <n v="33.87"/>
        <n v="34.0"/>
        <n v="34.01"/>
        <n v="33.13"/>
        <n v="33.11"/>
        <n v="33.09"/>
        <n v="33.0"/>
        <n v="33.15"/>
        <n v="32.89"/>
        <n v="32.84"/>
        <n v="32.87"/>
        <n v="32.76"/>
        <n v="32.96"/>
        <n v="32.8"/>
        <n v="32.91"/>
        <n v="33.02"/>
        <n v="33.03"/>
        <n v="33.25"/>
        <n v="33.38"/>
        <n v="33.4"/>
        <n v="33.42"/>
        <n v="33.43"/>
        <n v="33.33"/>
        <n v="33.35"/>
        <n v="33.36"/>
        <n v="33.49"/>
        <n v="33.5"/>
        <n v="33.52"/>
        <n v="33.66"/>
        <n v="33.78"/>
        <n v="33.79"/>
        <n v="33.9"/>
        <n v="33.93"/>
        <n v="33.97"/>
        <n v="34.03"/>
        <n v="34.07"/>
        <n v="34.09"/>
        <n v="34.11"/>
        <n v="34.08"/>
        <n v="34.12"/>
        <n v="34.14"/>
        <n v="34.18"/>
        <n v="34.19"/>
        <n v="34.2"/>
        <n v="34.22"/>
        <n v="34.24"/>
        <n v="34.25"/>
        <n v="34.26"/>
        <n v="34.28"/>
        <n v="34.34"/>
        <n v="34.51"/>
        <n v="34.67"/>
        <n v="34.71"/>
        <n v="34.81"/>
        <n v="34.8"/>
        <n v="34.92"/>
        <n v="34.93"/>
        <n v="34.97"/>
        <n v="34.98"/>
        <n v="35.0"/>
        <n v="35.02"/>
        <n v="34.88"/>
        <n v="34.47"/>
        <n v="33.96"/>
        <n v="33.92"/>
        <n v="33.8"/>
        <n v="33.83"/>
        <n v="33.62"/>
        <n v="33.41"/>
        <n v="33.39"/>
        <n v="33.37"/>
        <n v="33.34"/>
        <n v="33.56"/>
        <n v="33.71"/>
        <n v="33.91"/>
        <n v="33.99"/>
        <n v="34.1"/>
        <n v="34.06"/>
        <n v="34.05"/>
        <n v="34.15"/>
        <n v="34.13"/>
        <n v="34.17"/>
        <n v="34.16"/>
        <n v="34.02"/>
        <n v="33.86"/>
        <n v="33.75"/>
        <n v="33.74"/>
        <n v="33.69"/>
        <n v="33.67"/>
        <n v="33.94"/>
        <n v="34.23"/>
        <n v="34.3"/>
        <n v="34.35"/>
        <n v="34.41"/>
        <n v="34.43"/>
        <n v="34.42"/>
        <n v="34.45"/>
        <n v="34.55"/>
        <n v="34.54"/>
        <n v="34.53"/>
        <n v="34.59"/>
        <n v="34.64"/>
        <n v="34.62"/>
        <n v="34.69"/>
        <n v="34.76"/>
        <n v="34.85"/>
        <n v="34.87"/>
        <n v="34.89"/>
        <n v="34.9"/>
        <n v="34.91"/>
        <n v="35.01"/>
        <n v="35.06"/>
        <n v="35.16"/>
        <n v="35.51"/>
        <n v="35.67"/>
        <n v="35.62"/>
        <n v="35.65"/>
        <n v="35.73"/>
        <n v="35.75"/>
        <n v="35.68"/>
        <n v="35.66"/>
        <n v="35.76"/>
        <n v="35.89"/>
        <n v="35.98"/>
        <n v="36.0"/>
        <n v="36.05"/>
        <n v="36.07"/>
        <n v="36.11"/>
        <n v="36.75"/>
        <n v="36.59"/>
        <n v="36.68"/>
        <n v="36.72"/>
        <n v="36.58"/>
        <n v="36.69"/>
        <n v="36.74"/>
        <n v="36.83"/>
        <n v="36.9"/>
        <n v="36.84"/>
        <n v="36.64"/>
        <n v="36.73"/>
        <n v="36.77"/>
        <n v="36.7"/>
        <n v="36.49"/>
        <n v="36.85"/>
        <n v="37.18"/>
        <n v="37.09"/>
        <n v="38.63"/>
        <n v="39.23"/>
        <n v="39.03"/>
        <n v="39.42"/>
        <n v="39.04"/>
        <n v="39.84"/>
        <n v="40.55"/>
        <n v="41.17"/>
        <n v="41.26"/>
        <n v="40.99"/>
        <n v="41.38"/>
        <n v="41.35"/>
        <n v="41.3"/>
        <n v="41.5"/>
        <n v="41.7"/>
        <n v="41.52"/>
        <n v="41.48"/>
        <n v="41.68"/>
        <n v="41.69"/>
        <n v="41.88"/>
        <n v="41.94"/>
        <n v="41.89"/>
        <n v="41.98"/>
        <n v="41.92"/>
        <n v="41.99"/>
        <n v="42.02"/>
        <n v="42.0"/>
        <n v="42.03"/>
        <n v="42.04"/>
        <n v="42.06"/>
        <n v="42.01"/>
        <n v="42.05"/>
        <n v="41.82"/>
        <n v="41.62"/>
        <n v="41.72"/>
        <n v="42.07"/>
        <n v="41.93"/>
        <n v="41.83"/>
        <n v="41.81"/>
        <n v="41.51"/>
        <n v="41.36"/>
        <n v="41.19"/>
        <n v="41.07"/>
        <n v="41.18"/>
        <n v="40.83"/>
        <n v="40.39"/>
        <n v="40.4"/>
        <n v="40.22"/>
        <n v="40.24"/>
        <n v="40.18"/>
        <n v="40.15"/>
        <n v="40.05"/>
        <n v="39.99"/>
        <n v="39.93"/>
        <n v="39.91"/>
        <n v="39.92"/>
        <n v="39.87"/>
        <n v="39.88"/>
        <n v="39.85"/>
        <n v="40.34"/>
        <n v="40.65"/>
        <n v="40.62"/>
        <n v="40.75"/>
        <n v="40.84"/>
        <n v="40.88"/>
        <n v="40.93"/>
        <n v="40.89"/>
        <n v="40.86"/>
        <n v="40.9"/>
        <n v="40.96"/>
        <n v="40.92"/>
        <n v="41.0"/>
        <n v="41.06"/>
        <n v="41.2"/>
        <n v="41.16"/>
        <n v="41.15"/>
        <n v="41.08"/>
        <n v="41.04"/>
        <n v="41.03"/>
        <n v="40.8"/>
        <n v="40.76"/>
        <n v="40.81"/>
        <n v="40.78"/>
        <n v="40.79"/>
        <n v="40.73"/>
        <n v="40.7"/>
        <n v="40.68"/>
        <n v="40.67"/>
        <n v="40.66"/>
        <n v="40.64"/>
        <n v="40.63"/>
        <n v="40.54"/>
        <n v="40.52"/>
        <n v="40.49"/>
        <n v="40.5"/>
        <n v="40.47"/>
        <n v="40.42"/>
        <n v="40.36"/>
        <n v="40.29"/>
        <n v="40.3"/>
        <n v="40.31"/>
        <n v="40.21"/>
        <n v="40.19"/>
        <n v="40.16"/>
        <n v="40.12"/>
        <n v="40.11"/>
        <n v="40.1"/>
        <n v="40.08"/>
        <n v="40.06"/>
        <n v="40.03"/>
        <n v="40.02"/>
        <n v="40.01"/>
        <n v="39.89"/>
        <n v="39.96"/>
        <n v="40.14"/>
        <n v="39.82"/>
        <n v="39.98"/>
        <n v="40.35"/>
        <n v="40.25"/>
        <n v="40.09"/>
        <n v="40.2"/>
        <n v="40.07"/>
        <n v="40.13"/>
        <n v="40.23"/>
        <n v="39.97"/>
        <n v="39.94"/>
        <n v="39.51"/>
        <n v="39.12"/>
        <n v="39.13"/>
        <n v="38.83"/>
        <n v="38.22"/>
        <n v="37.88"/>
        <n v="37.67"/>
        <n v="37.42"/>
        <n v="37.23"/>
        <n v="37.24"/>
        <n v="37.14"/>
        <n v="37.0"/>
        <n v="36.95"/>
        <n v="36.87"/>
        <n v="36.8"/>
        <n v="36.82"/>
        <n v="36.78"/>
        <n v="37.17"/>
        <n v="36.99"/>
        <n v="37.11"/>
        <n v="37.36"/>
        <n v="37.39"/>
        <n v="37.01"/>
        <n v="36.97"/>
        <n v="36.93"/>
        <n v="36.76"/>
        <n v="36.91"/>
        <n v="37.06"/>
        <n v="37.2"/>
        <n v="37.33"/>
        <n v="37.49"/>
        <n v="37.77"/>
        <n v="37.86"/>
        <n v="38.0"/>
        <n v="38.01"/>
        <n v="38.07"/>
        <n v="38.13"/>
        <n v="38.17"/>
        <n v="38.19"/>
        <n v="38.16"/>
        <n v="38.2"/>
        <n v="38.18"/>
        <n v="38.21"/>
        <n v="38.28"/>
        <n v="38.46"/>
        <n v="38.55"/>
        <n v="38.49"/>
        <n v="38.5"/>
        <n v="38.56"/>
        <n v="38.61"/>
        <n v="38.53"/>
        <n v="38.6"/>
        <n v="38.42"/>
        <n v="38.43"/>
        <n v="38.47"/>
        <n v="38.41"/>
        <n v="38.35"/>
        <n v="38.37"/>
        <n v="38.45"/>
        <n v="38.4"/>
        <n v="38.38"/>
        <n v="38.44"/>
        <n v="38.57"/>
        <n v="38.32"/>
        <n v="38.39"/>
        <n v="38.26"/>
        <n v="38.24"/>
        <n v="38.23"/>
        <n v="38.15"/>
        <n v="38.02"/>
        <n v="37.7"/>
        <n v="37.58"/>
        <n v="37.37"/>
        <n v="37.04"/>
        <n v="36.81"/>
        <n v="36.62"/>
        <n v="36.56"/>
        <n v="36.43"/>
        <n v="36.36"/>
        <n v="36.34"/>
        <n v="36.37"/>
        <n v="36.38"/>
        <n v="36.39"/>
        <n v="36.67"/>
        <n v="36.47"/>
        <n v="36.96"/>
        <n v="37.08"/>
        <n v="37.35"/>
        <n v="37.31"/>
        <n v="37.46"/>
        <n v="37.72"/>
        <n v="36.94"/>
        <n v="36.92"/>
        <n v="37.1"/>
        <n v="37.45"/>
        <n v="37.64"/>
        <n v="37.55"/>
        <n v="38.77"/>
        <n v="39.19"/>
        <n v="39.3"/>
        <n v="39.44"/>
        <n v="39.5"/>
        <n v="39.57"/>
        <n v="39.53"/>
        <n v="39.34"/>
        <n v="39.36"/>
        <n v="39.38"/>
        <n v="39.52"/>
        <n v="39.6"/>
        <n v="39.56"/>
        <n v="39.59"/>
        <n v="39.61"/>
        <n v="39.55"/>
        <n v="39.43"/>
        <n v="39.45"/>
        <n v="39.31"/>
        <n v="39.35"/>
        <n v="39.33"/>
        <n v="39.26"/>
        <n v="39.0"/>
        <n v="39.06"/>
        <n v="39.07"/>
        <n v="39.05"/>
        <n v="38.99"/>
        <n v="38.88"/>
        <n v="38.25"/>
        <n v="37.6"/>
        <n v="37.43"/>
        <n v="37.15"/>
        <n v="37.13"/>
        <n v="37.44"/>
        <n v="37.22"/>
        <n v="37.12"/>
        <n v="37.07"/>
        <n v="36.63"/>
        <n v="36.53"/>
        <n v="36.51"/>
        <n v="36.57"/>
        <n v="36.4"/>
        <n v="36.42"/>
        <n v="36.45"/>
        <n v="36.44"/>
        <n v="36.46"/>
        <n v="36.35"/>
        <n v="36.26"/>
        <n v="36.16"/>
        <n v="36.2"/>
        <n v="36.17"/>
        <n v="36.21"/>
        <n v="36.14"/>
        <n v="36.1"/>
        <n v="36.06"/>
        <n v="36.09"/>
        <n v="36.04"/>
        <n v="36.03"/>
        <n v="36.01"/>
        <n v="35.99"/>
        <n v="36.02"/>
        <n v="36.12"/>
        <n v="36.15"/>
        <n v="36.13"/>
        <n v="36.3"/>
        <n v="36.18"/>
        <n v="36.19"/>
        <n v="36.22"/>
        <n v="36.23"/>
        <n v="36.24"/>
        <n v="36.27"/>
        <n v="36.28"/>
        <n v="36.31"/>
        <n v="36.32"/>
        <n v="36.25"/>
        <n v="36.29"/>
        <n v="36.33"/>
        <n v="35.82"/>
        <n v="35.72"/>
        <n v="35.74"/>
        <n v="35.64"/>
        <n v="35.59"/>
        <n v="35.57"/>
        <n v="35.52"/>
        <n v="37.82"/>
        <n v="38.36"/>
        <n v="39.48"/>
        <n v="38.86"/>
        <n v="39.09"/>
        <n v="38.67"/>
        <n v="38.81"/>
        <n v="38.64"/>
        <n v="38.71"/>
        <n v="37.26"/>
        <n v="37.74"/>
        <n v="39.46"/>
        <n v="39.79"/>
        <n v="40.43"/>
        <n v="40.45"/>
        <n v="40.82"/>
        <n v="40.6"/>
      </sharedItems>
    </cacheField>
    <cacheField name="gross_profit_per_unit" numFmtId="0">
      <sharedItems containsSemiMixedTypes="0" containsString="0" containsNumber="1">
        <n v="-0.9"/>
        <n v="-0.72"/>
        <n v="-0.45"/>
        <n v="-0.44"/>
        <n v="-0.68"/>
        <n v="-0.7"/>
        <n v="-0.75"/>
        <n v="-0.8"/>
        <n v="0.82"/>
        <n v="0.95"/>
        <n v="0.79"/>
        <n v="0.8"/>
        <n v="0.85"/>
        <n v="0.62"/>
        <n v="0.69"/>
        <n v="0.68"/>
        <n v="0.7"/>
        <n v="0.64"/>
        <n v="0.58"/>
        <n v="0.38"/>
        <n v="0.59"/>
        <n v="0.54"/>
        <n v="0.46"/>
        <n v="0.44"/>
        <n v="0.47"/>
        <n v="0.52"/>
        <n v="0.43"/>
        <n v="-1.37"/>
        <n v="0.11"/>
        <n v="-1.29"/>
        <n v="-1.41"/>
        <n v="-1.53"/>
        <n v="-1.56"/>
        <n v="-1.04"/>
        <n v="-0.69"/>
        <n v="-0.64"/>
        <n v="-0.55"/>
        <n v="1.31"/>
        <n v="-0.4"/>
        <n v="1.3"/>
        <n v="-0.43"/>
        <n v="-1.12"/>
        <n v="-0.53"/>
        <n v="-0.33"/>
        <n v="-0.37"/>
        <n v="-0.46"/>
        <n v="-1.95"/>
        <n v="-1.19"/>
        <n v="-0.96"/>
        <n v="-1.11"/>
        <n v="-1.33"/>
        <n v="-1.35"/>
        <n v="-0.07"/>
        <n v="-1.27"/>
        <n v="-1.31"/>
        <n v="-1.28"/>
        <n v="-0.76"/>
        <n v="-0.92"/>
        <n v="-0.85"/>
        <n v="-0.89"/>
        <n v="-1.01"/>
        <n v="-0.94"/>
        <n v="-0.95"/>
        <n v="1.58"/>
        <n v="1.57"/>
        <n v="1.56"/>
        <n v="0.74"/>
        <n v="0.83"/>
        <n v="0.36"/>
        <n v="0.57"/>
        <n v="0.49"/>
        <n v="0.65"/>
        <n v="0.37"/>
        <n v="0.51"/>
        <n v="0.56"/>
        <n v="0.29"/>
        <n v="1.07"/>
        <n v="1.0"/>
        <n v="-0.73"/>
        <n v="-0.77"/>
        <n v="-0.74"/>
        <n v="-0.78"/>
        <n v="-0.82"/>
        <n v="-0.86"/>
        <n v="-0.88"/>
        <n v="0.4"/>
        <n v="0.96"/>
        <n v="0.91"/>
        <n v="1.43"/>
        <n v="1.04"/>
        <n v="0.45"/>
        <n v="1.11"/>
        <n v="-0.54"/>
        <n v="0.98"/>
        <n v="-2.42"/>
        <n v="-2.52"/>
        <n v="-2.51"/>
        <n v="-2.55"/>
        <n v="-2.56"/>
        <n v="-2.72"/>
        <n v="-2.35"/>
        <n v="-2.04"/>
        <n v="-1.8"/>
        <n v="-1.55"/>
        <n v="-1.73"/>
        <n v="-1.58"/>
        <n v="0.14"/>
        <n v="-1.4"/>
        <n v="-1.02"/>
        <n v="-1.1"/>
        <n v="-1.21"/>
        <n v="-1.18"/>
        <n v="-1.2"/>
        <n v="-1.23"/>
        <n v="-1.24"/>
        <n v="-1.34"/>
        <n v="-1.36"/>
        <n v="-1.62"/>
        <n v="-0.36"/>
        <n v="-0.58"/>
        <n v="-0.11"/>
        <n v="-0.22"/>
        <n v="1.33"/>
        <n v="1.34"/>
        <n v="1.18"/>
        <n v="1.24"/>
        <n v="1.12"/>
        <n v="1.23"/>
        <n v="1.05"/>
        <n v="0.94"/>
        <n v="0.99"/>
        <n v="0.92"/>
        <n v="0.88"/>
        <n v="0.93"/>
        <n v="-1.68"/>
        <n v="0.86"/>
        <n v="0.84"/>
        <n v="-1.74"/>
        <n v="1.17"/>
        <n v="-1.42"/>
        <n v="-1.39"/>
        <n v="-1.32"/>
        <n v="-1.3"/>
        <n v="1.32"/>
        <n v="-1.26"/>
        <n v="-1.25"/>
        <n v="-1.22"/>
        <n v="-0.61"/>
        <n v="-0.62"/>
        <n v="-0.71"/>
        <n v="-2.24"/>
        <n v="-3.33"/>
        <n v="-3.46"/>
        <n v="-3.47"/>
        <n v="-3.51"/>
        <n v="-3.53"/>
        <n v="-3.52"/>
        <n v="-3.54"/>
        <n v="0.76"/>
        <n v="0.63"/>
        <n v="0.6"/>
        <n v="0.61"/>
        <n v="0.48"/>
        <n v="0.5"/>
        <n v="0.39"/>
        <n v="-2.11"/>
        <n v="-2.23"/>
        <n v="-2.25"/>
        <n v="-2.31"/>
        <n v="-2.41"/>
        <n v="-2.43"/>
        <n v="-2.45"/>
        <n v="-2.46"/>
        <n v="1.81"/>
        <n v="1.75"/>
        <n v="1.86"/>
        <n v="1.82"/>
        <n v="1.83"/>
        <n v="1.87"/>
        <n v="1.72"/>
        <n v="1.71"/>
        <n v="1.6"/>
        <n v="1.25"/>
        <n v="1.09"/>
        <n v="1.13"/>
        <n v="1.03"/>
        <n v="1.06"/>
        <n v="1.02"/>
        <n v="1.08"/>
        <n v="1.15"/>
        <n v="1.01"/>
        <n v="0.73"/>
        <n v="0.72"/>
        <n v="3.29"/>
        <n v="2.64"/>
        <n v="0.97"/>
        <n v="0.87"/>
        <n v="0.71"/>
        <n v="5.29"/>
        <n v="5.63"/>
        <n v="5.87"/>
        <n v="5.23"/>
        <n v="5.02"/>
        <n v="6.09"/>
        <n v="5.75"/>
        <n v="4.08"/>
        <n v="3.31"/>
        <n v="3.15"/>
        <n v="-2.67"/>
        <n v="-1.83"/>
        <n v="-3.15"/>
        <n v="-3.05"/>
        <n v="-3.44"/>
        <n v="-3.2"/>
        <n v="-3.03"/>
        <n v="-3.14"/>
        <n v="-3.16"/>
        <n v="-3.61"/>
        <n v="-3.65"/>
        <n v="-3.7"/>
        <n v="-0.79"/>
        <n v="-0.83"/>
        <n v="-3.45"/>
        <n v="-3.48"/>
        <n v="-3.41"/>
        <n v="-3.42"/>
        <n v="-3.36"/>
        <n v="-0.84"/>
        <n v="-0.65"/>
        <n v="-0.87"/>
        <n v="-0.63"/>
        <n v="-0.17"/>
        <n v="-0.02"/>
        <n v="0.1"/>
        <n v="0.0"/>
        <n v="0.34"/>
        <n v="-2.68"/>
        <n v="-2.44"/>
        <n v="-2.36"/>
        <n v="-2.27"/>
        <n v="-2.22"/>
        <n v="-2.21"/>
        <n v="-2.2"/>
        <n v="-2.13"/>
        <n v="-2.16"/>
        <n v="-2.14"/>
        <n v="-2.6"/>
        <n v="-2.92"/>
        <n v="-2.89"/>
        <n v="-2.93"/>
        <n v="-3.01"/>
        <n v="-3.1"/>
        <n v="-3.12"/>
        <n v="0.24"/>
        <n v="0.28"/>
        <n v="0.31"/>
        <n v="0.27"/>
        <n v="0.21"/>
        <n v="0.26"/>
        <n v="0.22"/>
        <n v="0.18"/>
        <n v="0.12"/>
        <n v="-3.43"/>
        <n v="-3.34"/>
        <n v="-3.3"/>
        <n v="-3.25"/>
        <n v="-3.26"/>
        <n v="-3.27"/>
        <n v="0.15"/>
        <n v="1.26"/>
        <n v="-2.19"/>
        <n v="-2.05"/>
        <n v="-2.0"/>
        <n v="-2.08"/>
        <n v="-2.88"/>
        <n v="-1.98"/>
        <n v="-1.9"/>
        <n v="-2.9"/>
        <n v="-2.86"/>
        <n v="-2.91"/>
        <n v="-2.82"/>
        <n v="1.41"/>
        <n v="-2.87"/>
        <n v="1.39"/>
        <n v="1.5"/>
        <n v="1.49"/>
        <n v="1.55"/>
        <n v="1.54"/>
        <n v="1.53"/>
        <n v="1.62"/>
        <n v="1.64"/>
        <n v="1.74"/>
        <n v="1.8"/>
        <n v="-2.37"/>
        <n v="-2.33"/>
        <n v="-2.28"/>
        <n v="-0.08"/>
        <n v="-0.6"/>
        <n v="-0.97"/>
        <n v="-1.0"/>
        <n v="-1.13"/>
        <n v="-1.46"/>
        <n v="-1.45"/>
        <n v="-1.38"/>
        <n v="-1.6"/>
        <n v="-1.52"/>
        <n v="-1.44"/>
        <n v="-1.51"/>
        <n v="-1.09"/>
        <n v="-1.14"/>
        <n v="-1.49"/>
        <n v="-1.5"/>
        <n v="-1.84"/>
        <n v="-1.89"/>
        <n v="-1.7"/>
        <n v="-1.82"/>
        <n v="-0.93"/>
        <n v="-0.39"/>
        <n v="-4.61"/>
        <n v="-3.94"/>
        <n v="-3.22"/>
        <n v="-2.96"/>
        <n v="-2.78"/>
        <n v="-2.75"/>
        <n v="-2.61"/>
        <n v="-2.49"/>
        <n v="2.02"/>
        <n v="1.94"/>
        <n v="2.51"/>
        <n v="2.0"/>
        <n v="2.07"/>
        <n v="1.88"/>
        <n v="1.85"/>
        <n v="2.06"/>
        <n v="2.19"/>
        <n v="2.14"/>
        <n v="2.36"/>
        <n v="-3.6"/>
        <n v="-3.93"/>
        <n v="-4.13"/>
        <n v="-4.4"/>
        <n v="-4.52"/>
        <n v="-4.49"/>
        <n v="-4.63"/>
        <n v="-4.72"/>
        <n v="-4.66"/>
        <n v="-4.77"/>
        <n v="-4.84"/>
        <n v="-4.8"/>
        <n v="-1.61"/>
        <n v="-3.4"/>
        <n v="-1.64"/>
        <n v="-1.76"/>
        <n v="-1.69"/>
        <n v="-1.75"/>
        <n v="-3.35"/>
        <n v="-1.57"/>
        <n v="1.84"/>
        <n v="-3.31"/>
        <n v="-3.32"/>
        <n v="-3.28"/>
        <n v="2.75"/>
        <n v="-4.73"/>
        <n v="-4.93"/>
        <n v="-4.94"/>
        <n v="-4.97"/>
        <n v="-3.07"/>
        <n v="-2.97"/>
        <n v="-2.73"/>
        <n v="2.93"/>
        <n v="-2.77"/>
        <n v="-2.71"/>
        <n v="-2.59"/>
        <n v="-2.85"/>
        <n v="-2.76"/>
        <n v="-2.84"/>
        <n v="2.87"/>
        <n v="2.92"/>
        <n v="2.88"/>
        <n v="2.9"/>
        <n v="2.94"/>
        <n v="-3.11"/>
        <n v="-3.08"/>
        <n v="-3.13"/>
        <n v="2.99"/>
        <n v="2.95"/>
        <n v="3.0"/>
        <n v="2.96"/>
        <n v="3.16"/>
        <n v="-2.79"/>
        <n v="-3.21"/>
        <n v="-3.17"/>
        <n v="-2.1"/>
        <n v="-2.01"/>
        <n v="-2.06"/>
        <n v="-2.12"/>
        <n v="4.78"/>
        <n v="5.6"/>
        <n v="5.44"/>
        <n v="5.36"/>
        <n v="5.55"/>
        <n v="5.03"/>
        <n v="4.93"/>
        <n v="4.89"/>
        <n v="4.64"/>
        <n v="-2.18"/>
        <n v="4.55"/>
        <n v="4.57"/>
        <n v="4.26"/>
        <n v="-0.09"/>
        <n v="1.14"/>
        <n v="1.46"/>
        <n v="-0.67"/>
        <n v="-0.52"/>
        <n v="-0.32"/>
        <n v="-1.67"/>
        <n v="-1.15"/>
        <n v="2.65"/>
        <n v="2.63"/>
        <n v="2.67"/>
        <n v="2.52"/>
        <n v="2.48"/>
        <n v="2.5"/>
        <n v="2.44"/>
        <n v="2.41"/>
        <n v="2.43"/>
        <n v="2.47"/>
        <n v="2.49"/>
        <n v="1.65"/>
        <n v="-2.09"/>
        <n v="-1.97"/>
        <n v="3.09"/>
        <n v="-3.62"/>
        <n v="-3.64"/>
        <n v="-3.02"/>
        <n v="-2.39"/>
        <n v="-1.91"/>
        <n v="-1.93"/>
        <n v="-2.02"/>
        <n v="-2.99"/>
        <n v="-2.98"/>
        <n v="-2.7"/>
        <n v="-2.53"/>
        <n v="-2.58"/>
        <n v="-2.47"/>
        <n v="-2.62"/>
        <n v="-2.34"/>
        <n v="-2.38"/>
        <n v="5.48"/>
        <n v="5.52"/>
        <n v="5.67"/>
        <n v="5.64"/>
        <n v="5.61"/>
        <n v="5.53"/>
        <n v="5.59"/>
        <n v="-2.07"/>
        <n v="-2.15"/>
        <n v="5.69"/>
        <n v="5.78"/>
        <n v="-2.74"/>
        <n v="-2.64"/>
        <n v="-2.69"/>
        <n v="6.03"/>
        <n v="6.04"/>
        <n v="6.06"/>
        <n v="6.02"/>
        <n v="6.0"/>
        <n v="6.05"/>
        <n v="5.95"/>
        <n v="5.97"/>
        <n v="5.92"/>
        <n v="5.94"/>
        <n v="5.91"/>
        <n v="5.96"/>
        <n v="5.93"/>
        <n v="5.77"/>
        <n v="5.89"/>
        <n v="5.84"/>
        <n v="5.8"/>
        <n v="-1.94"/>
        <n v="-1.66"/>
        <n v="-1.63"/>
        <n v="5.73"/>
        <n v="4.03"/>
        <n v="4.02"/>
        <n v="3.98"/>
        <n v="4.01"/>
        <n v="4.17"/>
        <n v="4.24"/>
        <n v="4.22"/>
        <n v="4.25"/>
        <n v="4.14"/>
        <n v="4.23"/>
        <n v="4.16"/>
        <n v="4.3"/>
        <n v="4.28"/>
        <n v="4.29"/>
        <n v="4.19"/>
        <n v="1.19"/>
        <n v="1.16"/>
        <n v="4.59"/>
        <n v="4.7"/>
        <n v="4.77"/>
        <n v="4.73"/>
        <n v="4.75"/>
        <n v="4.79"/>
        <n v="4.71"/>
        <n v="4.72"/>
        <n v="5.05"/>
        <n v="4.56"/>
        <n v="4.09"/>
        <n v="3.44"/>
        <n v="4.07"/>
        <n v="3.84"/>
        <n v="4.1"/>
        <n v="3.94"/>
        <n v="3.71"/>
        <n v="4.21"/>
        <n v="4.36"/>
        <n v="4.35"/>
        <n v="3.97"/>
        <n v="5.47"/>
        <n v="4.97"/>
        <n v="3.37"/>
        <n v="2.45"/>
        <n v="2.4"/>
        <n v="2.39"/>
        <n v="2.24"/>
        <n v="2.27"/>
        <n v="2.12"/>
        <n v="2.33"/>
        <n v="3.4"/>
      </sharedItems>
    </cacheField>
    <cacheField name="Margin %" numFmtId="0">
      <sharedItems containsSemiMixedTypes="0" containsString="0" containsNumber="1">
        <n v="-2.74"/>
        <n v="-2.21"/>
        <n v="-1.39"/>
        <n v="-1.35"/>
        <n v="-2.11"/>
        <n v="-2.15"/>
        <n v="-2.17"/>
        <n v="-2.32"/>
        <n v="-2.46"/>
        <n v="2.41"/>
        <n v="2.77"/>
        <n v="2.31"/>
        <n v="2.35"/>
        <n v="2.49"/>
        <n v="1.81"/>
        <n v="1.83"/>
        <n v="2.04"/>
        <n v="2.0"/>
        <n v="1.88"/>
        <n v="1.7"/>
        <n v="1.12"/>
        <n v="1.74"/>
        <n v="1.57"/>
        <n v="1.35"/>
        <n v="1.28"/>
        <n v="1.38"/>
        <n v="1.37"/>
        <n v="1.51"/>
        <n v="1.53"/>
        <n v="1.73"/>
        <n v="1.25"/>
        <n v="-4.23"/>
        <n v="0.33"/>
        <n v="-3.97"/>
        <n v="-4.33"/>
        <n v="-4.7"/>
        <n v="-4.81"/>
        <n v="-3.19"/>
        <n v="-2.12"/>
        <n v="-1.98"/>
        <n v="-1.96"/>
        <n v="-1.7"/>
        <n v="-1.38"/>
        <n v="3.83"/>
        <n v="-1.23"/>
        <n v="3.81"/>
        <n v="-1.31"/>
        <n v="-3.52"/>
        <n v="-1.63"/>
        <n v="-1.02"/>
        <n v="-1.13"/>
        <n v="-1.41"/>
        <n v="-6.28"/>
        <n v="-3.74"/>
        <n v="-3.0"/>
        <n v="-3.48"/>
        <n v="-4.18"/>
        <n v="-4.26"/>
        <n v="-0.2"/>
        <n v="-4.11"/>
        <n v="-3.96"/>
        <n v="-3.99"/>
        <n v="-2.33"/>
        <n v="-2.84"/>
        <n v="-2.62"/>
        <n v="-2.73"/>
        <n v="-3.13"/>
        <n v="-2.9"/>
        <n v="-2.91"/>
        <n v="4.51"/>
        <n v="4.47"/>
        <n v="4.46"/>
        <n v="4.44"/>
        <n v="4.48"/>
        <n v="4.52"/>
        <n v="2.18"/>
        <n v="2.42"/>
        <n v="1.06"/>
        <n v="1.67"/>
        <n v="1.43"/>
        <n v="1.91"/>
        <n v="1.98"/>
        <n v="1.45"/>
        <n v="1.09"/>
        <n v="1.48"/>
        <n v="1.64"/>
        <n v="1.96"/>
        <n v="0.85"/>
        <n v="3.04"/>
        <n v="2.85"/>
        <n v="-2.2"/>
        <n v="-2.31"/>
        <n v="-2.35"/>
        <n v="-2.55"/>
        <n v="-2.56"/>
        <n v="-2.58"/>
        <n v="-2.63"/>
        <n v="-2.66"/>
        <n v="2.29"/>
        <n v="2.27"/>
        <n v="1.15"/>
        <n v="1.54"/>
        <n v="1.34"/>
        <n v="2.72"/>
        <n v="2.57"/>
        <n v="4.0"/>
        <n v="2.92"/>
        <n v="1.59"/>
        <n v="1.29"/>
        <n v="3.09"/>
        <n v="-1.57"/>
        <n v="2.74"/>
        <n v="-7.46"/>
        <n v="-7.77"/>
        <n v="-7.73"/>
        <n v="-7.86"/>
        <n v="-7.89"/>
        <n v="-8.44"/>
        <n v="-7.31"/>
        <n v="-6.37"/>
        <n v="-5.61"/>
        <n v="-4.77"/>
        <n v="-4.17"/>
        <n v="-5.4"/>
        <n v="-4.92"/>
        <n v="0.4"/>
        <n v="-4.36"/>
        <n v="-4.0"/>
        <n v="-3.4"/>
        <n v="-3.7"/>
        <n v="-3.78"/>
        <n v="-3.71"/>
        <n v="-3.68"/>
        <n v="-3.73"/>
        <n v="-3.77"/>
        <n v="-3.83"/>
        <n v="-3.87"/>
        <n v="-3.66"/>
        <n v="-4.24"/>
        <n v="-4.2"/>
        <n v="-3.86"/>
        <n v="-3.67"/>
        <n v="-3.82"/>
        <n v="-3.95"/>
        <n v="-4.16"/>
        <n v="-4.1"/>
        <n v="-5.11"/>
        <n v="-1.08"/>
        <n v="-1.76"/>
        <n v="-0.32"/>
        <n v="-0.66"/>
        <n v="3.8"/>
        <n v="3.84"/>
        <n v="3.75"/>
        <n v="3.35"/>
        <n v="3.53"/>
        <n v="3.21"/>
        <n v="3.55"/>
        <n v="3.52"/>
        <n v="3.0"/>
        <n v="2.7"/>
        <n v="2.69"/>
        <n v="2.71"/>
        <n v="2.8"/>
        <n v="2.81"/>
        <n v="2.82"/>
        <n v="2.62"/>
        <n v="2.53"/>
        <n v="2.61"/>
        <n v="2.64"/>
        <n v="2.58"/>
        <n v="-5.18"/>
        <n v="2.45"/>
        <n v="-5.36"/>
        <n v="2.46"/>
        <n v="-4.82"/>
        <n v="-4.37"/>
        <n v="-4.28"/>
        <n v="-4.06"/>
        <n v="-4.08"/>
        <n v="-3.98"/>
        <n v="-4.02"/>
        <n v="3.78"/>
        <n v="-3.89"/>
        <n v="-3.85"/>
        <n v="-3.81"/>
        <n v="-3.75"/>
        <n v="-3.94"/>
        <n v="-4.05"/>
        <n v="-4.04"/>
        <n v="-4.15"/>
        <n v="-1.83"/>
        <n v="-1.85"/>
        <n v="-1.92"/>
        <n v="-1.84"/>
        <n v="-2.18"/>
        <n v="-7.02"/>
        <n v="-10.78"/>
        <n v="-11.28"/>
        <n v="-11.27"/>
        <n v="-11.25"/>
        <n v="-11.41"/>
        <n v="-11.5"/>
        <n v="-11.45"/>
        <n v="-11.48"/>
        <n v="-11.47"/>
        <n v="-11.51"/>
        <n v="2.11"/>
        <n v="1.8"/>
        <n v="1.79"/>
        <n v="1.72"/>
        <n v="1.78"/>
        <n v="1.76"/>
        <n v="1.65"/>
        <n v="1.44"/>
        <n v="-6.5"/>
        <n v="-6.87"/>
        <n v="-6.92"/>
        <n v="-7.13"/>
        <n v="-7.25"/>
        <n v="-7.41"/>
        <n v="-7.49"/>
        <n v="-7.55"/>
        <n v="-7.56"/>
        <n v="-7.57"/>
        <n v="-7.58"/>
        <n v="-7.6"/>
        <n v="4.94"/>
        <n v="4.78"/>
        <n v="5.05"/>
        <n v="4.96"/>
        <n v="4.99"/>
        <n v="5.08"/>
        <n v="4.68"/>
        <n v="4.66"/>
        <n v="4.35"/>
        <n v="3.39"/>
        <n v="2.95"/>
        <n v="3.07"/>
        <n v="2.87"/>
        <n v="2.59"/>
        <n v="2.78"/>
        <n v="2.84"/>
        <n v="2.94"/>
        <n v="3.12"/>
        <n v="2.75"/>
        <n v="2.02"/>
        <n v="1.95"/>
        <n v="1.99"/>
        <n v="8.36"/>
        <n v="6.71"/>
        <n v="2.51"/>
        <n v="2.86"/>
        <n v="2.32"/>
        <n v="2.1"/>
        <n v="2.19"/>
        <n v="12.56"/>
        <n v="13.3"/>
        <n v="13.86"/>
        <n v="12.48"/>
        <n v="11.98"/>
        <n v="14.21"/>
        <n v="13.39"/>
        <n v="13.17"/>
        <n v="9.56"/>
        <n v="7.78"/>
        <n v="7.46"/>
        <n v="0.9"/>
        <n v="0.34"/>
        <n v="-3.08"/>
        <n v="-6.91"/>
        <n v="-1.07"/>
        <n v="-4.64"/>
        <n v="-8.25"/>
        <n v="-7.93"/>
        <n v="-8.99"/>
        <n v="-8.35"/>
        <n v="-7.88"/>
        <n v="-8.15"/>
        <n v="-8.21"/>
        <n v="-9.43"/>
        <n v="-9.18"/>
        <n v="-9.56"/>
        <n v="-9.67"/>
        <n v="-2.75"/>
        <n v="-3.23"/>
        <n v="-1.99"/>
        <n v="-2.06"/>
        <n v="-2.02"/>
        <n v="-2.07"/>
        <n v="-8.93"/>
        <n v="-9.03"/>
        <n v="-8.92"/>
        <n v="-8.82"/>
        <n v="-8.87"/>
        <n v="-8.7"/>
        <n v="-1.87"/>
        <n v="-2.05"/>
        <n v="-2.09"/>
        <n v="-2.14"/>
        <n v="-2.04"/>
        <n v="-1.93"/>
        <n v="-1.59"/>
        <n v="-1.73"/>
        <n v="-1.71"/>
        <n v="-1.69"/>
        <n v="-1.34"/>
        <n v="-2.16"/>
        <n v="-2.13"/>
        <n v="-1.81"/>
        <n v="-1.86"/>
        <n v="-1.53"/>
        <n v="-0.87"/>
        <n v="-0.42"/>
        <n v="-0.04"/>
        <n v="0.24"/>
        <n v="-0.01"/>
        <n v="0.83"/>
        <n v="-7.11"/>
        <n v="-7.09"/>
        <n v="-6.67"/>
        <n v="-6.65"/>
        <n v="-6.49"/>
        <n v="-6.48"/>
        <n v="-6.45"/>
        <n v="-6.26"/>
        <n v="-6.01"/>
        <n v="-5.89"/>
        <n v="-5.86"/>
        <n v="-5.84"/>
        <n v="-5.65"/>
        <n v="-5.58"/>
        <n v="-5.73"/>
        <n v="-5.68"/>
        <n v="-6.88"/>
        <n v="-7.74"/>
        <n v="-7.67"/>
        <n v="-7.98"/>
        <n v="-7.95"/>
        <n v="-8.22"/>
        <n v="0.58"/>
        <n v="0.68"/>
        <n v="0.75"/>
        <n v="0.65"/>
        <n v="0.52"/>
        <n v="0.64"/>
        <n v="0.71"/>
        <n v="0.59"/>
        <n v="0.54"/>
        <n v="0.44"/>
        <n v="0.3"/>
        <n v="0.26"/>
        <n v="-9.05"/>
        <n v="-9.07"/>
        <n v="-9.24"/>
        <n v="-9.11"/>
        <n v="-9.04"/>
        <n v="-9.12"/>
        <n v="-8.85"/>
        <n v="-8.74"/>
        <n v="-8.6"/>
        <n v="-8.64"/>
        <n v="-8.67"/>
        <n v="-0.89"/>
        <n v="0.35"/>
        <n v="0.36"/>
        <n v="0.37"/>
        <n v="0.38"/>
        <n v="0.53"/>
        <n v="2.05"/>
        <n v="2.25"/>
        <n v="2.34"/>
        <n v="2.48"/>
        <n v="2.67"/>
        <n v="2.99"/>
        <n v="-5.67"/>
        <n v="-5.47"/>
        <n v="-5.29"/>
        <n v="-5.17"/>
        <n v="-5.38"/>
        <n v="-5.28"/>
        <n v="-5.39"/>
        <n v="-5.3"/>
        <n v="-7.62"/>
        <n v="-5.13"/>
        <n v="-4.91"/>
        <n v="1.22"/>
        <n v="-7.66"/>
        <n v="-7.63"/>
        <n v="-7.68"/>
        <n v="-7.69"/>
        <n v="-7.7"/>
        <n v="-7.71"/>
        <n v="-7.18"/>
        <n v="3.36"/>
        <n v="-7.65"/>
        <n v="-7.64"/>
        <n v="3.32"/>
        <n v="3.57"/>
        <n v="3.7"/>
        <n v="3.65"/>
        <n v="3.72"/>
        <n v="3.85"/>
        <n v="3.9"/>
        <n v="4.15"/>
        <n v="4.14"/>
        <n v="4.17"/>
        <n v="4.29"/>
        <n v="-6.39"/>
        <n v="-6.27"/>
        <n v="-6.15"/>
        <n v="-6.17"/>
        <n v="-6.23"/>
        <n v="-6.22"/>
        <n v="-6.03"/>
        <n v="-5.9"/>
        <n v="-5.8"/>
        <n v="-5.93"/>
        <n v="-0.19"/>
        <n v="-1.55"/>
        <n v="-1.51"/>
        <n v="-1.09"/>
        <n v="-2.26"/>
        <n v="-2.48"/>
        <n v="-1.75"/>
        <n v="-2.57"/>
        <n v="-2.36"/>
        <n v="-2.61"/>
        <n v="-3.54"/>
        <n v="-4.13"/>
        <n v="-3.92"/>
        <n v="-3.72"/>
        <n v="-3.9"/>
        <n v="-3.5"/>
        <n v="-3.34"/>
        <n v="-3.11"/>
        <n v="-3.03"/>
        <n v="-2.43"/>
        <n v="-3.53"/>
        <n v="-3.37"/>
        <n v="-2.81"/>
        <n v="-2.92"/>
        <n v="-3.28"/>
        <n v="-3.91"/>
        <n v="-4.94"/>
        <n v="-4.78"/>
        <n v="-4.45"/>
        <n v="-4.97"/>
        <n v="-4.83"/>
        <n v="-1.01"/>
        <n v="-0.58"/>
        <n v="-13.46"/>
        <n v="-10.54"/>
        <n v="-10.1"/>
        <n v="-9.41"/>
        <n v="-8.84"/>
        <n v="-8.65"/>
        <n v="-8.11"/>
        <n v="-8.03"/>
        <n v="-7.61"/>
        <n v="-7.24"/>
        <n v="-7.59"/>
        <n v="5.19"/>
        <n v="5.0"/>
        <n v="6.38"/>
        <n v="5.1"/>
        <n v="5.3"/>
        <n v="5.28"/>
        <n v="4.8"/>
        <n v="4.71"/>
        <n v="5.26"/>
        <n v="5.6"/>
        <n v="5.29"/>
        <n v="5.49"/>
        <n v="5.32"/>
        <n v="6.36"/>
        <n v="5.99"/>
        <n v="-10.71"/>
        <n v="-11.78"/>
        <n v="-12.36"/>
        <n v="-13.18"/>
        <n v="-13.54"/>
        <n v="-13.45"/>
        <n v="-13.87"/>
        <n v="-14.16"/>
        <n v="-13.91"/>
        <n v="-14.29"/>
        <n v="-14.52"/>
        <n v="-14.37"/>
        <n v="3.17"/>
        <n v="3.14"/>
        <n v="3.13"/>
        <n v="3.16"/>
        <n v="-3.64"/>
        <n v="-3.62"/>
        <n v="-4.38"/>
        <n v="-4.4"/>
        <n v="-9.75"/>
        <n v="-4.79"/>
        <n v="-4.59"/>
        <n v="-4.75"/>
        <n v="-9.54"/>
        <n v="-4.29"/>
        <n v="-9.52"/>
        <n v="-4.55"/>
        <n v="4.56"/>
        <n v="-9.42"/>
        <n v="-9.31"/>
        <n v="-9.44"/>
        <n v="-9.25"/>
        <n v="-9.28"/>
        <n v="-9.45"/>
        <n v="-9.27"/>
        <n v="-9.36"/>
        <n v="-9.35"/>
        <n v="-9.9"/>
        <n v="6.69"/>
        <n v="-9.4"/>
        <n v="-14.1"/>
        <n v="-14.75"/>
        <n v="-14.78"/>
        <n v="-14.86"/>
        <n v="-8.95"/>
        <n v="-8.98"/>
        <n v="-8.42"/>
        <n v="7.12"/>
        <n v="-3.39"/>
        <n v="-2.94"/>
        <n v="-3.41"/>
        <n v="-7.84"/>
        <n v="-3.22"/>
        <n v="-3.47"/>
        <n v="-7.26"/>
        <n v="-8.05"/>
        <n v="-7.32"/>
        <n v="-7.8"/>
        <n v="-8.14"/>
        <n v="-8.04"/>
        <n v="6.99"/>
        <n v="7.1"/>
        <n v="7.0"/>
        <n v="7.13"/>
        <n v="7.06"/>
        <n v="7.16"/>
        <n v="-8.75"/>
        <n v="-8.86"/>
        <n v="-8.78"/>
        <n v="-8.94"/>
        <n v="-8.76"/>
        <n v="7.27"/>
        <n v="7.18"/>
        <n v="7.26"/>
        <n v="7.14"/>
        <n v="7.29"/>
        <n v="7.17"/>
        <n v="7.21"/>
        <n v="-14.26"/>
        <n v="7.68"/>
        <n v="-10.25"/>
        <n v="-9.78"/>
        <n v="-9.63"/>
        <n v="-8.06"/>
        <n v="-9.85"/>
        <n v="-9.61"/>
        <n v="-9.49"/>
        <n v="-6.3"/>
        <n v="-6.0"/>
        <n v="-5.99"/>
        <n v="-6.18"/>
        <n v="11.61"/>
        <n v="13.41"/>
        <n v="13.34"/>
        <n v="12.94"/>
        <n v="12.75"/>
        <n v="13.2"/>
        <n v="11.97"/>
        <n v="11.73"/>
        <n v="11.65"/>
        <n v="11.06"/>
        <n v="10.83"/>
        <n v="10.87"/>
        <n v="10.15"/>
        <n v="-0.25"/>
        <n v="-1.03"/>
        <n v="2.98"/>
        <n v="1.68"/>
        <n v="-1.18"/>
        <n v="-1.89"/>
        <n v="-0.82"/>
        <n v="-0.27"/>
        <n v="-4.42"/>
        <n v="6.32"/>
        <n v="6.26"/>
        <n v="6.34"/>
        <n v="6.01"/>
        <n v="5.9"/>
        <n v="5.95"/>
        <n v="5.81"/>
        <n v="5.72"/>
        <n v="5.98"/>
        <n v="5.79"/>
        <n v="5.82"/>
        <n v="5.87"/>
        <n v="5.93"/>
        <n v="5.89"/>
        <n v="1.2"/>
        <n v="0.92"/>
        <n v="1.16"/>
        <n v="0.28"/>
        <n v="-6.4"/>
        <n v="-5.66"/>
        <n v="-5.57"/>
        <n v="-5.32"/>
        <n v="2.37"/>
        <n v="7.34"/>
        <n v="-10.27"/>
        <n v="-10.33"/>
        <n v="-8.52"/>
        <n v="-8.27"/>
        <n v="-6.8"/>
        <n v="-6.2"/>
        <n v="-5.41"/>
        <n v="-5.49"/>
        <n v="-5.74"/>
        <n v="-8.24"/>
        <n v="-8.72"/>
        <n v="-7.9"/>
        <n v="-7.82"/>
        <n v="-7.39"/>
        <n v="-7.23"/>
        <n v="-6.83"/>
        <n v="-6.97"/>
        <n v="-6.9"/>
        <n v="-6.82"/>
        <n v="-6.86"/>
        <n v="13.04"/>
        <n v="13.13"/>
        <n v="13.38"/>
        <n v="13.48"/>
        <n v="13.37"/>
        <n v="13.33"/>
        <n v="13.14"/>
        <n v="13.28"/>
        <n v="13.29"/>
        <n v="13.32"/>
        <n v="-3.8"/>
        <n v="-6.16"/>
        <n v="-6.09"/>
        <n v="-6.25"/>
        <n v="-6.32"/>
        <n v="-5.95"/>
        <n v="-6.29"/>
        <n v="-5.98"/>
        <n v="-6.07"/>
        <n v="-6.19"/>
        <n v="13.53"/>
        <n v="-6.36"/>
        <n v="-3.63"/>
        <n v="-3.58"/>
        <n v="-6.1"/>
        <n v="-3.61"/>
        <n v="-6.21"/>
        <n v="-3.55"/>
        <n v="-3.65"/>
        <n v="13.75"/>
        <n v="-8.28"/>
        <n v="-8.33"/>
        <n v="-8.16"/>
        <n v="-8.17"/>
        <n v="-8.18"/>
        <n v="-8.09"/>
        <n v="-7.91"/>
        <n v="-7.99"/>
        <n v="-8.0"/>
        <n v="14.34"/>
        <n v="14.37"/>
        <n v="14.4"/>
        <n v="14.36"/>
        <n v="14.42"/>
        <n v="14.32"/>
        <n v="14.26"/>
        <n v="14.38"/>
        <n v="14.31"/>
        <n v="14.3"/>
        <n v="14.35"/>
        <n v="14.33"/>
        <n v="14.39"/>
        <n v="14.14"/>
        <n v="14.19"/>
        <n v="14.08"/>
        <n v="14.13"/>
        <n v="14.06"/>
        <n v="14.11"/>
        <n v="14.17"/>
        <n v="14.1"/>
        <n v="13.7"/>
        <n v="14.0"/>
        <n v="13.95"/>
        <n v="13.88"/>
        <n v="13.8"/>
        <n v="-4.61"/>
        <n v="-5.78"/>
        <n v="-3.6"/>
        <n v="-4.89"/>
        <n v="-4.88"/>
        <n v="-4.87"/>
        <n v="13.52"/>
        <n v="-6.06"/>
        <n v="-6.11"/>
        <n v="-6.04"/>
        <n v="13.61"/>
        <n v="13.63"/>
        <n v="9.99"/>
        <n v="9.97"/>
        <n v="9.87"/>
        <n v="9.95"/>
        <n v="10.34"/>
        <n v="10.5"/>
        <n v="10.48"/>
        <n v="10.54"/>
        <n v="10.26"/>
        <n v="10.49"/>
        <n v="10.31"/>
        <n v="10.53"/>
        <n v="10.64"/>
        <n v="10.63"/>
        <n v="10.65"/>
        <n v="10.4"/>
        <n v="4.41"/>
        <n v="11.38"/>
        <n v="11.52"/>
        <n v="11.81"/>
        <n v="11.74"/>
        <n v="11.78"/>
        <n v="11.87"/>
        <n v="11.68"/>
        <n v="11.71"/>
        <n v="10.33"/>
        <n v="10.61"/>
        <n v="9.53"/>
        <n v="8.02"/>
        <n v="9.48"/>
        <n v="8.94"/>
        <n v="10.6"/>
        <n v="9.34"/>
        <n v="9.59"/>
        <n v="9.21"/>
        <n v="8.67"/>
        <n v="9.43"/>
        <n v="10.24"/>
        <n v="10.2"/>
        <n v="9.7"/>
        <n v="9.44"/>
        <n v="9.31"/>
        <n v="11.0"/>
        <n v="12.8"/>
        <n v="11.64"/>
        <n v="7.86"/>
        <n v="6.93"/>
        <n v="6.25"/>
        <n v="5.83"/>
        <n v="5.76"/>
        <n v="5.59"/>
        <n v="5.56"/>
        <n v="5.21"/>
        <n v="5.43"/>
        <n v="7.75"/>
        <n v="7.51"/>
      </sharedItems>
    </cacheField>
    <cacheField name="Profit" numFmtId="0">
      <sharedItems containsSemiMixedTypes="0" containsString="0" containsNumber="1">
        <n v="-6141.653142721509"/>
        <n v="-6640.635920297529"/>
        <n v="-1203.8504870320903"/>
        <n v="-2708.060953555454"/>
        <n v="-6900.217697024171"/>
        <n v="-6608.412850201654"/>
        <n v="-3894.4004962172476"/>
        <n v="-7094.117289851129"/>
        <n v="-5513.563759901328"/>
        <n v="2454.434719012177"/>
        <n v="2987.846434679086"/>
        <n v="3495.9604404376296"/>
        <n v="3391.812364847312"/>
        <n v="2296.2257399730443"/>
        <n v="2696.8651281035127"/>
        <n v="1994.03989764156"/>
        <n v="1786.3685722078517"/>
        <n v="1554.468555283267"/>
        <n v="2757.2842842134996"/>
        <n v="2997.337904882792"/>
        <n v="1515.0228627800097"/>
        <n v="1567.2884388499515"/>
        <n v="1533.0982170128555"/>
        <n v="649.0202360067415"/>
        <n v="1113.7631098605634"/>
        <n v="2135.0046241392993"/>
        <n v="2636.54824311423"/>
        <n v="1302.0489599095308"/>
        <n v="976.2694270169595"/>
        <n v="646.8055193859327"/>
        <n v="928.8598947423452"/>
        <n v="882.5294447417182"/>
        <n v="2084.365918281721"/>
        <n v="2773.41313541666"/>
        <n v="1967.0641979197244"/>
        <n v="2686.898633173143"/>
        <n v="1630.3621917086712"/>
        <n v="-7922.734785203036"/>
        <n v="336.71964121547353"/>
        <n v="-11975.345193628804"/>
        <n v="-13681.601914187893"/>
        <n v="-6352.666128708981"/>
        <n v="-7101.168388763152"/>
        <n v="-4325.415196626622"/>
        <n v="-3460.523713722796"/>
        <n v="-2735.801134095207"/>
        <n v="-6618.503846847219"/>
        <n v="-6244.32512044016"/>
        <n v="-2883.23598276166"/>
        <n v="-2086.759382818098"/>
        <n v="2128.686123780615"/>
        <n v="-1309.252237134584"/>
        <n v="3006.1596027583582"/>
        <n v="-4173.471096907568"/>
        <n v="-10899.048760751728"/>
        <n v="-2261.05164120486"/>
        <n v="-1359.1820185586985"/>
        <n v="-2551.7903767084936"/>
        <n v="-3162.550651399244"/>
        <n v="-21635.97051479615"/>
        <n v="-24780.29099252133"/>
        <n v="-25403.196842717007"/>
        <n v="-16652.145052065258"/>
        <n v="-18739.93485227076"/>
        <n v="-12978.908639479894"/>
        <n v="-10917.984872238128"/>
        <n v="-332.03023002808914"/>
        <n v="-18456.575203726126"/>
        <n v="-21352.208605005697"/>
        <n v="-8890.730148907838"/>
        <n v="-11412.212540121109"/>
        <n v="-4356.024750624376"/>
        <n v="-5453.0348908253945"/>
        <n v="-4311.206442638475"/>
        <n v="-10824.568821861234"/>
        <n v="-16199.93274369411"/>
        <n v="-6573.149625952152"/>
        <n v="-7086.349316717678"/>
        <n v="4278.154876793618"/>
        <n v="4130.94207478172"/>
        <n v="8050.523264959251"/>
        <n v="8920.548089016927"/>
        <n v="7752.619691930304"/>
        <n v="3133.1768284143327"/>
        <n v="3674.568297987469"/>
        <n v="2832.725472442631"/>
        <n v="3034.9338256763294"/>
        <n v="1265.764593322805"/>
        <n v="4623.8737394611235"/>
        <n v="5118.436866033473"/>
        <n v="3340.063394990284"/>
        <n v="3647.019298661704"/>
        <n v="4834.520427864976"/>
        <n v="2254.484978275228"/>
        <n v="1478.909526357078"/>
        <n v="2817.5875010148447"/>
        <n v="3569.7683449274627"/>
        <n v="2333.785369140125"/>
        <n v="1125.7527424672153"/>
        <n v="3615.5024908130436"/>
        <n v="3563.579718645982"/>
        <n v="-3952.0121988900646"/>
        <n v="-7372.708956100221"/>
        <n v="-8696.084690235264"/>
        <n v="-3668.3234412499587"/>
        <n v="-4559.740962139418"/>
        <n v="-6151.136821797147"/>
        <n v="-7498.941366321233"/>
        <n v="-15691.752876151935"/>
        <n v="-11877.025825861958"/>
        <n v="-9284.672313686926"/>
        <n v="-2911.2489003971714"/>
        <n v="-4244.263442773576"/>
        <n v="-4861.590676353051"/>
        <n v="2508.5137334535684"/>
        <n v="2232.6318778596906"/>
        <n v="3414.3187061986537"/>
        <n v="3894.398809714592"/>
        <n v="1922.6375151612447"/>
        <n v="1659.742647956271"/>
        <n v="1437.3077740726585"/>
        <n v="4205.709017014131"/>
        <n v="4637.61833681431"/>
        <n v="6548.410233609378"/>
        <n v="3834.847721501559"/>
        <n v="1480.53741349779"/>
        <n v="1426.8600745416188"/>
        <n v="3692.4687261090294"/>
        <n v="-1437.5812036884454"/>
        <n v="2639.2328141736652"/>
        <n v="-22610.641759637918"/>
        <n v="-33558.10654820793"/>
        <n v="-15500.547845286928"/>
        <n v="-14421.786736061855"/>
        <n v="-11526.588175744691"/>
        <n v="-16978.034247196338"/>
        <n v="-19741.24765094387"/>
        <n v="-26475.383278979978"/>
        <n v="-27990.37940663111"/>
        <n v="-7943.460345358704"/>
        <n v="-7019.486150816723"/>
        <n v="-9624.640092662681"/>
        <n v="-9581.862742811878"/>
        <n v="463.7742874280666"/>
        <n v="-18753.16171971045"/>
        <n v="-23602.968488883693"/>
        <n v="-6599.745059101231"/>
        <n v="-7418.246663824946"/>
        <n v="-8364.048902294278"/>
        <n v="-9208.42664731387"/>
        <n v="-7689.417446981301"/>
        <n v="-18501.654780225188"/>
        <n v="-22510.597322739777"/>
        <n v="-17206.5176389002"/>
        <n v="-16310.79511646612"/>
        <n v="-12695.821772555995"/>
        <n v="-10496.673728299036"/>
        <n v="-7835.001461588108"/>
        <n v="-12095.254959206155"/>
        <n v="-15508.041590879962"/>
        <n v="-7482.13140274919"/>
        <n v="-6077.235736210045"/>
        <n v="-6920.259833022108"/>
        <n v="-6653.606222769653"/>
        <n v="-7486.138656956056"/>
        <n v="-17478.914187966206"/>
        <n v="-18709.53813748597"/>
        <n v="-9321.910871339205"/>
        <n v="-7734.040350517724"/>
        <n v="-8716.135602427821"/>
        <n v="-7797.818425578065"/>
        <n v="-5808.2036063009"/>
        <n v="-2185.5601035825675"/>
        <n v="-3573.668029110937"/>
        <n v="-428.0380580748897"/>
        <n v="-907.8166451142752"/>
        <n v="1393.6156266972757"/>
        <n v="2152.285061093069"/>
        <n v="2092.466257290085"/>
        <n v="4418.811182067424"/>
        <n v="5156.747160102765"/>
        <n v="1989.715576113551"/>
        <n v="3325.4709036074055"/>
        <n v="6340.110430105502"/>
        <n v="3144.974220053642"/>
        <n v="2523.4440272628417"/>
        <n v="2664.2819167135167"/>
        <n v="3166.635277902911"/>
        <n v="1900.8387626626209"/>
        <n v="1927.533935339059"/>
        <n v="3044.1027999886574"/>
        <n v="2306.113964535587"/>
        <n v="2727.5886824845074"/>
        <n v="3384.826548929297"/>
        <n v="2588.8016899929935"/>
        <n v="1334.9230059144684"/>
        <n v="1991.127957062432"/>
        <n v="2850.853222577818"/>
        <n v="-8104.667782064149"/>
        <n v="1978.198697583779"/>
        <n v="3003.5066838528437"/>
        <n v="-13020.90393211745"/>
        <n v="2057.729563973611"/>
        <n v="2094.7956000453705"/>
        <n v="1394.907982390272"/>
        <n v="-7983.187056389492"/>
        <n v="3201.3449654733704"/>
        <n v="-22561.47603773157"/>
        <n v="-24080.147536947392"/>
        <n v="-10932.08447150659"/>
        <n v="-11873.633337988576"/>
        <n v="-8656.080021814676"/>
        <n v="-7884.492853671807"/>
        <n v="-11714.06812742172"/>
        <n v="-24446.64274524653"/>
        <n v="-25094.74462488806"/>
        <n v="-12227.325727171206"/>
        <n v="-14539.21829854499"/>
        <n v="-10459.699471094122"/>
        <n v="3048.2669675376383"/>
        <n v="3905.3894906624046"/>
        <n v="-17088.19978314644"/>
        <n v="-15724.598750871548"/>
        <n v="-7464.661765313096"/>
        <n v="-8787.174625116808"/>
        <n v="-7112.930495130218"/>
        <n v="-7416.01039738633"/>
        <n v="-6778.6935355185415"/>
        <n v="-18237.540511290426"/>
        <n v="-21352.478614122956"/>
        <n v="-9689.141725567752"/>
        <n v="-10308.323652468971"/>
        <n v="-6649.118119978957"/>
        <n v="-3135.8431754033954"/>
        <n v="-3031.5881473361806"/>
        <n v="-7227.209616411361"/>
        <n v="-9616.597276775981"/>
        <n v="-3955.3969241768355"/>
        <n v="-6889.334318043082"/>
        <n v="-17036.01120823095"/>
        <n v="-29622.531359267246"/>
        <n v="-29102.396694840834"/>
        <n v="-66930.5916018911"/>
        <n v="-80692.17915787816"/>
        <n v="-40391.61110134178"/>
        <n v="-67897.35585464537"/>
        <n v="-54010.362320514105"/>
        <n v="-53112.7439553428"/>
        <n v="-35865.16656459117"/>
        <n v="-57487.68990246509"/>
        <n v="-63465.94767298398"/>
        <n v="-26934.624162252003"/>
        <n v="-28151.902073451987"/>
        <n v="2678.685089711362"/>
        <n v="1664.8601336111024"/>
        <n v="1385.749821905978"/>
        <n v="2678.2517109541805"/>
        <n v="3072.6252104922605"/>
        <n v="1487.3242577873461"/>
        <n v="2142.1395102210954"/>
        <n v="1450.7721006355132"/>
        <n v="1296.1154115164827"/>
        <n v="1145.0618388757866"/>
        <n v="1878.044501745404"/>
        <n v="2192.926290405536"/>
        <n v="1086.6523350871867"/>
        <n v="1162.2922232379642"/>
        <n v="1237.7474282870535"/>
        <n v="-13645.703490110958"/>
        <n v="-24602.300206889515"/>
        <n v="-40516.934202054515"/>
        <n v="-43991.49972944171"/>
        <n v="-20590.054400955152"/>
        <n v="-19595.858329335868"/>
        <n v="-26798.458529246273"/>
        <n v="-44868.28800216573"/>
        <n v="-35564.37029699021"/>
        <n v="-39245.8406114963"/>
        <n v="-49645.47183378646"/>
        <n v="-21224.53726566874"/>
        <n v="-28530.90359927423"/>
        <n v="3859.841737155264"/>
        <n v="3367.153162456336"/>
        <n v="5215.371969121174"/>
        <n v="9083.850602516672"/>
        <n v="6845.92298142123"/>
        <n v="3045.220718782679"/>
        <n v="4407.426189425329"/>
        <n v="3256.560487430528"/>
        <n v="6077.923715653931"/>
        <n v="4141.922144538345"/>
        <n v="4108.070009292322"/>
        <n v="5005.969752476289"/>
        <n v="2781.1642922964675"/>
        <n v="2853.1031268945953"/>
        <n v="2971.535525419502"/>
        <n v="2563.876938483678"/>
        <n v="2712.302170806128"/>
        <n v="7013.509537493752"/>
        <n v="8592.012177281722"/>
        <n v="3781.4938552656968"/>
        <n v="4533.331157664623"/>
        <n v="2460.5053129474254"/>
        <n v="1879.3348264228407"/>
        <n v="1411.3947227943718"/>
        <n v="3332.6783485470514"/>
        <n v="4814.300987779192"/>
        <n v="2829.8444074806757"/>
        <n v="4087.6836088382406"/>
        <n v="8295.239593848062"/>
        <n v="4884.088773185256"/>
        <n v="2381.371994531539"/>
        <n v="3628.6005657584756"/>
        <n v="4026.4777872466366"/>
        <n v="2121.282382792342"/>
        <n v="2135.685822104133"/>
        <n v="1306.4999669896424"/>
        <n v="1146.9235884256268"/>
        <n v="1035.9035308727834"/>
        <n v="2813.27044359484"/>
        <n v="3787.232909539569"/>
        <n v="1965.6266064004594"/>
        <n v="1894.5449738594907"/>
        <n v="1473.4376618776005"/>
        <n v="1119.5493038730783"/>
        <n v="1002.7387339091656"/>
        <n v="6781.423955918122"/>
        <n v="6318.894288050717"/>
        <n v="4326.64685141886"/>
        <n v="3354.2821553745016"/>
        <n v="4856.45152951371"/>
        <n v="4316.5821667684395"/>
        <n v="5056.969130328242"/>
        <n v="6165.628913758621"/>
        <n v="8441.38186682426"/>
        <n v="7859.943125401318"/>
        <n v="7843.272982782102"/>
        <n v="2686.096564811378"/>
        <n v="1935.4389833163586"/>
        <n v="493.59314511568664"/>
        <n v="264.8867204350827"/>
        <n v="-4628.717858200456"/>
        <n v="-7228.361787130125"/>
        <n v="-960.1377190213971"/>
        <n v="-1588.8122620150825"/>
        <n v="-7503.709149191098"/>
        <n v="-13089.636638529832"/>
        <n v="-22144.01392335986"/>
        <n v="-33213.689146687044"/>
        <n v="-14827.21293051308"/>
        <n v="-22243.009573643445"/>
        <n v="-13533.203350427299"/>
        <n v="-12226.523642888875"/>
        <n v="-19076.62574976479"/>
        <n v="-25173.18341974885"/>
        <n v="-30211.230109275493"/>
        <n v="-16811.101440278027"/>
        <n v="-5623.827575036383"/>
        <n v="-10232.40755906637"/>
        <n v="-9678.76936976827"/>
        <n v="-2839.2546404970344"/>
        <n v="-925.4026631535598"/>
        <n v="-2221.4272647582693"/>
        <n v="-1431.3807095487136"/>
        <n v="-2696.1135629242053"/>
        <n v="-19334.26048505315"/>
        <n v="-32958.03631765029"/>
        <n v="-10009.01206787469"/>
        <n v="-23918.007759277592"/>
        <n v="-21921.43694324675"/>
        <n v="-16032.635975953628"/>
        <n v="-19544.395976122294"/>
        <n v="-15794.755238132057"/>
        <n v="-1552.349803230827"/>
        <n v="-1573.316150982093"/>
        <n v="-2584.7545615433773"/>
        <n v="-2585.229909453381"/>
        <n v="-1453.9961536023766"/>
        <n v="-1729.2433390215592"/>
        <n v="-1326.449951719449"/>
        <n v="-1149.9699977573473"/>
        <n v="-1256.9913544441806"/>
        <n v="-2586.9296930812707"/>
        <n v="-2922.947174150904"/>
        <n v="-1259.6451049533352"/>
        <n v="-966.8079465050396"/>
        <n v="-1307.498187614503"/>
        <n v="-1348.1097293255516"/>
        <n v="-1401.1607277611329"/>
        <n v="-3360.9003424181137"/>
        <n v="-3360.3128131504345"/>
        <n v="-1702.7661811302096"/>
        <n v="-1977.6847030925128"/>
        <n v="-1621.5220701653452"/>
        <n v="-1296.4643759491955"/>
        <n v="-1221.2169428661073"/>
        <n v="-2681.3230078396737"/>
        <n v="-3621.124389924633"/>
        <n v="-3182.5274603014986"/>
        <n v="-2411.379980556376"/>
        <n v="-1562.520823437124"/>
        <n v="-718.2862473317509"/>
        <n v="-195.96665919872612"/>
        <n v="-35.29452560143545"/>
        <n v="255.7370497082884"/>
        <n v="-4.573028456288739"/>
        <n v="810.610505905599"/>
        <n v="-9855.433109283535"/>
        <n v="-11499.72431676247"/>
        <n v="-9236.21598988885"/>
        <n v="-23849.65190792654"/>
        <n v="-27538.145042563207"/>
        <n v="-13204.142782701878"/>
        <n v="-14217.01071250686"/>
        <n v="-8761.60671964442"/>
        <n v="-9674.614278284396"/>
        <n v="-8495.56970841944"/>
        <n v="-17168.61919893726"/>
        <n v="-15648.182871855039"/>
        <n v="-7967.434336114937"/>
        <n v="972.3475510964781"/>
        <n v="-5393.1666916562535"/>
        <n v="-11068.16658213947"/>
        <n v="-9013.30362852529"/>
        <n v="-17456.66132179118"/>
        <n v="-24131.87194178946"/>
        <n v="-19867.707659018895"/>
        <n v="-18004.230290656735"/>
        <n v="-19381.266909365222"/>
        <n v="-20614.16251083862"/>
        <n v="-11602.171923702845"/>
        <n v="-22125.164970730373"/>
        <n v="-25322.19995019387"/>
        <n v="711.9834212141286"/>
        <n v="800.1225189956167"/>
        <n v="425.9265173951644"/>
        <n v="425.7027536622627"/>
        <n v="326.81076278866385"/>
        <n v="765.6975616496202"/>
        <n v="1017.7203081455664"/>
        <n v="349.49173580048955"/>
        <n v="513.9987260488851"/>
        <n v="360.680044132343"/>
        <n v="286.9238729924764"/>
        <n v="231.96076989568974"/>
        <n v="427.7308097061905"/>
        <n v="531.5971701659873"/>
        <n v="197.98992832825752"/>
        <n v="210.13786669445108"/>
        <n v="-11314.444801780293"/>
        <n v="-22975.99824205847"/>
        <n v="-21176.678328859038"/>
        <n v="-32273.30037641636"/>
        <n v="-41877.90585486195"/>
        <n v="-20256.9189914187"/>
        <n v="-19615.88864433128"/>
        <n v="-31454.00270641694"/>
        <n v="-43589.49187535251"/>
        <n v="-62490.00288077281"/>
        <n v="-43870.603808297834"/>
        <n v="-34570.68941793486"/>
        <n v="-11757.721608628286"/>
        <n v="-15938.973903665377"/>
        <n v="-1575.946492083458"/>
        <n v="338.5426168336853"/>
        <n v="263.0867572665302"/>
        <n v="413.1035385071591"/>
        <n v="464.03178182887495"/>
        <n v="299.2269432977919"/>
        <n v="437.0782572872995"/>
        <n v="835.8274824470427"/>
        <n v="1308.5353318109192"/>
        <n v="1172.2160622474912"/>
        <n v="2502.9694954079605"/>
        <n v="3297.6904930591554"/>
        <n v="1573.3553721134303"/>
        <n v="1526.5312159636014"/>
        <n v="1702.1742294613505"/>
        <n v="-7526.193085493229"/>
        <n v="1864.284018218641"/>
        <n v="-18803.587563189038"/>
        <n v="-38423.69484648545"/>
        <n v="-10594.938225335267"/>
        <n v="-10025.43711543092"/>
        <n v="-10243.457663267502"/>
        <n v="-10498.476186160406"/>
        <n v="-20769.135567708232"/>
        <n v="-26503.522454186343"/>
        <n v="-35185.798112063145"/>
        <n v="-13738.437648890715"/>
        <n v="-16433.327963799064"/>
        <n v="-11777.968250251608"/>
        <n v="-17265.664469510783"/>
        <n v="1428.8854020222498"/>
        <n v="-24975.841921617975"/>
        <n v="-29855.01676651649"/>
        <n v="-12707.051569829579"/>
        <n v="-15233.515772102342"/>
        <n v="-14857.022892842011"/>
        <n v="-12818.445297817234"/>
        <n v="-11441.60565983894"/>
        <n v="-29219.85508026136"/>
        <n v="-31869.540175064"/>
        <n v="-13651.904878618807"/>
        <n v="-15090.02258349699"/>
        <n v="-9905.179999591375"/>
        <n v="-12391.89666918473"/>
        <n v="2841.1101833090506"/>
        <n v="-24666.500047406473"/>
        <n v="-32220.868614364474"/>
        <n v="-12877.875494261767"/>
        <n v="-19739.28251542244"/>
        <n v="-15333.840404350572"/>
        <n v="-18696.85574085216"/>
        <n v="-16737.404089960648"/>
        <n v="-36104.394863993046"/>
        <n v="-42114.71873568429"/>
        <n v="-20191.294376538135"/>
        <n v="-34061.3289252448"/>
        <n v="-25849.929243855935"/>
        <n v="-20656.277653519413"/>
        <n v="-15282.011158130714"/>
        <n v="-22476.778258407954"/>
        <n v="-26681.71198536543"/>
        <n v="-13745.6762830386"/>
        <n v="3644.464054460259"/>
        <n v="2744.1297791002144"/>
        <n v="2530.1934381232277"/>
        <n v="2449.181474556797"/>
        <n v="5733.635647099698"/>
        <n v="6762.153769164928"/>
        <n v="3119.7221987269004"/>
        <n v="5538.702637855662"/>
        <n v="3667.193211034566"/>
        <n v="3433.397601084609"/>
        <n v="3072.813870103855"/>
        <n v="5895.63203578908"/>
        <n v="7016.369058691169"/>
        <n v="3730.4358048387658"/>
        <n v="3556.843802232048"/>
        <n v="2786.684951042451"/>
        <n v="-6815.041439188848"/>
        <n v="-11521.913424700062"/>
        <n v="-19661.897708100907"/>
        <n v="-22772.214744336903"/>
        <n v="-11446.617646239116"/>
        <n v="-10313.349136669858"/>
        <n v="-13213.851320360409"/>
        <n v="-19016.933404981915"/>
        <n v="-15580.310701296403"/>
        <n v="-16182.513959222473"/>
        <n v="-18659.577621734294"/>
        <n v="-9095.580843375617"/>
        <n v="-10201.22743555336"/>
        <n v="-8045.832645433024"/>
        <n v="-162.45362339139683"/>
        <n v="-1097.878295074901"/>
        <n v="-1901.435490902004"/>
        <n v="-1546.3810778112093"/>
        <n v="-1295.3598247415357"/>
        <n v="-1358.7280677504386"/>
        <n v="-1268.8876666957876"/>
        <n v="-1403.829892880749"/>
        <n v="-1850.063445208536"/>
        <n v="-3465.3898931789445"/>
        <n v="-3052.152864157353"/>
        <n v="-1909.884801122098"/>
        <n v="-1435.8674756868568"/>
        <n v="-1878.7440983945999"/>
        <n v="-1163.9386137991823"/>
        <n v="-2523.9241414210555"/>
        <n v="-4738.633554210464"/>
        <n v="-4912.450215201214"/>
        <n v="-3374.178098276563"/>
        <n v="-3399.932739273485"/>
        <n v="-2117.2915739210584"/>
        <n v="-2082.8575345492354"/>
        <n v="-1930.6688776320734"/>
        <n v="-4843.262489374989"/>
        <n v="-5393.069385156705"/>
        <n v="-2674.3229874333483"/>
        <n v="-1972.5489615480328"/>
        <n v="-2744.863664432807"/>
        <n v="-2540.8621207301476"/>
        <n v="-2623.735136366915"/>
        <n v="-3380.8852804690105"/>
        <n v="-3853.432526314602"/>
        <n v="-2474.691728858321"/>
        <n v="-2697.6478280367155"/>
        <n v="-2351.3442306446086"/>
        <n v="-2150.8663953795985"/>
        <n v="-1951.0093102095634"/>
        <n v="-4104.797324879706"/>
        <n v="-5216.34714849545"/>
        <n v="-3533.11186246977"/>
        <n v="-3111.1796859533424"/>
        <n v="-1675.9952400885595"/>
        <n v="-869.9027827824029"/>
        <n v="-652.2168885460633"/>
        <n v="-2000.6732864968071"/>
        <n v="-2481.795707418627"/>
        <n v="-574.1171276192545"/>
        <n v="-342.6974993984186"/>
        <n v="-29292.368501618097"/>
        <n v="-31633.467482832144"/>
        <n v="-24113.580067049217"/>
        <n v="-39144.182218622125"/>
        <n v="-43390.18390549172"/>
        <n v="-17902.509584533225"/>
        <n v="-29410.520959566056"/>
        <n v="-33294.825966381875"/>
        <n v="-28039.91812025837"/>
        <n v="-21792.778872806113"/>
        <n v="-25919.453130398877"/>
        <n v="-27711.56968303054"/>
        <n v="-11928.238160234003"/>
        <n v="-13586.429383753013"/>
        <n v="3647.299757959001"/>
        <n v="3802.574727059793"/>
        <n v="3090.2444131294105"/>
        <n v="4380.181317518043"/>
        <n v="3040.8599448625027"/>
        <n v="1716.10827694181"/>
        <n v="2504.176184846576"/>
        <n v="2400.8720647879454"/>
        <n v="1589.255158601307"/>
        <n v="1666.9874771910436"/>
        <n v="3622.663789278442"/>
        <n v="3784.9899863492683"/>
        <n v="2226.476887122699"/>
        <n v="2818.0077670988394"/>
        <n v="2792.5661203743366"/>
        <n v="-13401.080650868826"/>
        <n v="-17668.050365156145"/>
        <n v="-45503.115219669184"/>
        <n v="-46306.946989375574"/>
        <n v="-22114.1073417062"/>
        <n v="-25678.600533885765"/>
        <n v="-19846.885206585197"/>
        <n v="-44886.10056679614"/>
        <n v="-56973.47136706021"/>
        <n v="-54755.79090708017"/>
        <n v="-64449.329839377024"/>
        <n v="-29457.702254164236"/>
        <n v="-42340.276034181705"/>
        <n v="-31672.734038552822"/>
        <n v="2025.5398024387323"/>
        <n v="1873.0680458173883"/>
        <n v="3965.8898597259977"/>
        <n v="3751.3246768554673"/>
        <n v="1795.8258381606574"/>
        <n v="1816.128362759213"/>
        <n v="1259.7315927688178"/>
        <n v="1326.567892583189"/>
        <n v="1691.631561989554"/>
        <n v="3477.3352904545754"/>
        <n v="3503.4061256813"/>
        <n v="1870.6800127808674"/>
        <n v="1729.3291353005043"/>
        <n v="1318.5299963629732"/>
        <n v="1678.3182410846784"/>
        <n v="1752.4785812280315"/>
        <n v="-6756.009546859161"/>
        <n v="-9292.656224376056"/>
        <n v="-4296.813314835497"/>
        <n v="-4812.99456649764"/>
        <n v="-5123.723057299154"/>
        <n v="-15399.087661910075"/>
        <n v="-5301.855621392955"/>
        <n v="-12545.716386971006"/>
        <n v="-38176.62217723415"/>
        <n v="-13163.396856966196"/>
        <n v="-12360.16898366122"/>
        <n v="-9124.740859535086"/>
        <n v="-19212.208583675703"/>
        <n v="-4762.475372330286"/>
        <n v="-9198.099627783144"/>
        <n v="-26670.915930537274"/>
        <n v="-6099.574590184959"/>
        <n v="4294.161356056298"/>
        <n v="-12387.188585901662"/>
        <n v="-13771.659083439154"/>
        <n v="-13243.062886831205"/>
        <n v="-33126.54668025189"/>
        <n v="-35073.090347656864"/>
        <n v="-15943.526102593489"/>
        <n v="-16422.733887609735"/>
        <n v="-14256.615925351216"/>
        <n v="-13931.113780013868"/>
        <n v="-13620.457411916606"/>
        <n v="-27931.156752157316"/>
        <n v="-29201.95155470085"/>
        <n v="-15096.0192083921"/>
        <n v="5335.794706235523"/>
        <n v="-10435.144905198715"/>
        <n v="-22893.110623504035"/>
        <n v="-43900.6906090097"/>
        <n v="-55449.67327172379"/>
        <n v="-64255.95965008624"/>
        <n v="-35455.76160366324"/>
        <n v="-23327.483725148108"/>
        <n v="-23443.776796490245"/>
        <n v="-21369.90913800409"/>
        <n v="-18061.562734780164"/>
        <n v="-27758.769010809658"/>
        <n v="-31857.164392208564"/>
        <n v="-15035.99514289471"/>
        <n v="6442.0121145928715"/>
        <n v="-3991.3791572236223"/>
        <n v="-4157.65113512057"/>
        <n v="-4542.182430254441"/>
        <n v="-7999.760096403275"/>
        <n v="-26132.27701491682"/>
        <n v="-5967.515674209659"/>
        <n v="-6037.920131000079"/>
        <n v="-16851.62195485999"/>
        <n v="-17025.837704843405"/>
        <n v="-17216.217148554744"/>
        <n v="-22291.537519698148"/>
        <n v="-24716.372457489197"/>
        <n v="-12109.189833004522"/>
        <n v="-23541.591262195958"/>
        <n v="-25174.285312968714"/>
        <n v="18746.17754116113"/>
        <n v="27831.943709602696"/>
        <n v="9365.426452241896"/>
        <n v="5901.951349996074"/>
        <n v="4906.760327666001"/>
        <n v="9520.485005687413"/>
        <n v="-14110.625323383108"/>
        <n v="-18477.04468813882"/>
        <n v="-28472.213353512867"/>
        <n v="-9798.044043060232"/>
        <n v="-23254.563848602993"/>
        <n v="-14781.410617199726"/>
        <n v="-24586.094870463887"/>
        <n v="-18904.242949418287"/>
        <n v="7036.4226955564955"/>
        <n v="5412.354033914133"/>
        <n v="7570.660075575768"/>
        <n v="9666.192683083093"/>
        <n v="6474.364817928712"/>
        <n v="8822.63591568367"/>
        <n v="7219.039008221138"/>
        <n v="4827.190098608087"/>
        <n v="4494.4959206188"/>
        <n v="10762.034024114837"/>
        <n v="13710.066272008058"/>
        <n v="6577.271231419771"/>
        <n v="6985.694784706488"/>
        <n v="5059.618108935989"/>
        <n v="-22760.64877604015"/>
        <n v="5152.010855269866"/>
        <n v="-27373.68838959257"/>
        <n v="-30820.842232169118"/>
        <n v="-14366.791501012922"/>
        <n v="-19450.560657938797"/>
        <n v="-16733.68169557501"/>
        <n v="-17277.98432120323"/>
        <n v="-14871.874635237677"/>
        <n v="-39214.60031682678"/>
        <n v="-49269.10257996642"/>
        <n v="-20558.125165614445"/>
        <n v="-32172.849996269215"/>
        <n v="-17529.25978123484"/>
        <n v="-16232.97298957163"/>
        <n v="-11594.158490269125"/>
        <n v="-19538.802589632513"/>
        <n v="-22322.456648436084"/>
        <n v="-10459.140493101528"/>
        <n v="-12883.467527501052"/>
        <n v="9812.899849540889"/>
        <n v="10281.686425805528"/>
        <n v="8543.601930136283"/>
        <n v="19256.482800867496"/>
        <n v="22002.524246382527"/>
        <n v="11613.15836405463"/>
        <n v="14776.156169170572"/>
        <n v="9075.443035258693"/>
        <n v="-8558.500978741911"/>
        <n v="8105.102844760448"/>
        <n v="17829.243871219427"/>
        <n v="-20230.925056327193"/>
        <n v="10501.801466414516"/>
        <n v="9263.759069288426"/>
        <n v="5541.076303642709"/>
        <n v="-207.44405498895503"/>
        <n v="-1649.964205080585"/>
        <n v="5633.013729444356"/>
        <n v="5918.719788515067"/>
        <n v="5057.148725584091"/>
        <n v="2746.788637936843"/>
        <n v="-2133.6629046498856"/>
        <n v="-3232.505697208602"/>
        <n v="-2242.881981955288"/>
        <n v="-1911.7715920876653"/>
        <n v="-1253.1041443497525"/>
        <n v="-199.49246114994457"/>
        <n v="-4024.500124339669"/>
        <n v="-1814.7878082149255"/>
        <n v="2422.2644577510437"/>
        <n v="2344.8060759734726"/>
        <n v="4945.369470324033"/>
        <n v="4789.466280993249"/>
        <n v="2192.7579803760673"/>
        <n v="2678.4678609261464"/>
        <n v="3226.2757695736"/>
        <n v="2397.8472564969707"/>
        <n v="2055.6665876417064"/>
        <n v="4530.072505395932"/>
        <n v="5399.836484297557"/>
        <n v="3220.277580484959"/>
        <n v="2850.1583266595553"/>
        <n v="3881.841964459949"/>
        <n v="3397.224124880435"/>
        <n v="3161.049062867067"/>
        <n v="5916.047648470005"/>
        <n v="1494.677045621822"/>
        <n v="678.2622998862134"/>
        <n v="582.9510004185722"/>
        <n v="241.19640732335392"/>
        <n v="-4118.68044954526"/>
        <n v="-7420.614541315357"/>
        <n v="-12948.432002718386"/>
        <n v="-9611.730639693822"/>
        <n v="-4826.585757056877"/>
        <n v="937.8306651690073"/>
        <n v="1941.362073696393"/>
        <n v="4021.899998950583"/>
        <n v="-15976.706464690971"/>
        <n v="-27291.68602242449"/>
        <n v="-25403.11855438567"/>
        <n v="-8919.87633461575"/>
        <n v="-10852.215659669513"/>
        <n v="-9535.470803711622"/>
        <n v="-8458.01052524848"/>
        <n v="-10058.816714763496"/>
        <n v="-19158.28274423431"/>
        <n v="-17986.366673247423"/>
        <n v="-10358.12571157579"/>
        <n v="-8670.970725590189"/>
        <n v="-6830.344063987242"/>
        <n v="-12625.09662966762"/>
        <n v="-14688.744157052599"/>
        <n v="-28952.139404630172"/>
        <n v="-34676.52756838518"/>
        <n v="-16225.027908851655"/>
        <n v="-21805.568891602015"/>
        <n v="-22148.021228468744"/>
        <n v="-24496.18365253252"/>
        <n v="-19527.576861637644"/>
        <n v="-33660.731489666156"/>
        <n v="-42060.464613648364"/>
        <n v="-25655.11423602223"/>
        <n v="-21713.270562925492"/>
        <n v="-22285.685499835236"/>
        <n v="-19538.510452427785"/>
        <n v="-16580.782833262434"/>
        <n v="-23509.52699927904"/>
        <n v="-26457.02205728338"/>
        <n v="-9552.106468058977"/>
        <n v="8658.564139756963"/>
        <n v="5610.53940081998"/>
        <n v="4620.6593613137775"/>
        <n v="3640.2474762226666"/>
        <n v="10761.374101106776"/>
        <n v="11058.43664733885"/>
        <n v="6885.297656920244"/>
        <n v="5732.524609910513"/>
        <n v="5214.27866996394"/>
        <n v="4522.419416342658"/>
        <n v="5174.026644551741"/>
        <n v="12904.898924903711"/>
        <n v="13200.881210143998"/>
        <n v="8192.446776234705"/>
        <n v="9215.118658043975"/>
        <n v="-4301.833908575136"/>
        <n v="-15288.26824037917"/>
        <n v="-12983.792629818607"/>
        <n v="-22412.472129256"/>
        <n v="-24193.7323952397"/>
        <n v="-12749.138968311338"/>
        <n v="-10917.872065041127"/>
        <n v="-15415.361324585625"/>
        <n v="-23134.086992321245"/>
        <n v="-17476.855071657395"/>
        <n v="-22364.816627043532"/>
        <n v="-24408.879288055818"/>
        <n v="-12688.728837459465"/>
        <n v="-11002.80410141559"/>
        <n v="9531.15901205915"/>
        <n v="-10368.83155375396"/>
        <n v="-5038.95047224866"/>
        <n v="-9044.119548075192"/>
        <n v="-17935.66805361875"/>
        <n v="-4996.552777549106"/>
        <n v="-4883.290925233698"/>
        <n v="-4004.497401965811"/>
        <n v="-13904.179702546768"/>
        <n v="-7177.347668632923"/>
        <n v="-11909.061331830104"/>
        <n v="-19029.06425995956"/>
        <n v="-4913.469548531051"/>
        <n v="-5144.190269248531"/>
        <n v="-4280.858220655631"/>
        <n v="5508.066689232706"/>
        <n v="-11906.796983085776"/>
        <n v="-32468.57302603766"/>
        <n v="-37629.543437769404"/>
        <n v="-18870.925467960828"/>
        <n v="-20723.85730127449"/>
        <n v="-16488.503532367205"/>
        <n v="-17322.997582485637"/>
        <n v="-23136.468650226074"/>
        <n v="-38732.03588979441"/>
        <n v="-35943.73889047321"/>
        <n v="-19349.731336669473"/>
        <n v="-22520.79143928818"/>
        <n v="-17663.13040520731"/>
        <n v="-15717.312715493754"/>
        <n v="9980.150655277372"/>
        <n v="12530.219609412103"/>
        <n v="11333.052807936576"/>
        <n v="5717.989428159672"/>
        <n v="6608.043397982503"/>
        <n v="5277.438277249392"/>
        <n v="4736.589073621333"/>
        <n v="4369.59473806859"/>
        <n v="11557.54312305442"/>
        <n v="13641.480895779954"/>
        <n v="6514.2456276377125"/>
        <n v="7381.333932156267"/>
        <n v="5433.323067169091"/>
        <n v="6116.133801433716"/>
        <n v="5036.597170184257"/>
        <n v="8763.757528286915"/>
        <n v="11057.869762593371"/>
        <n v="5862.2422732718405"/>
        <n v="6198.2288396296135"/>
        <n v="6290.335012527386"/>
        <n v="9584.582900274174"/>
        <n v="7363.3124033989225"/>
        <n v="13161.939752510923"/>
        <n v="13469.306648671205"/>
        <n v="8369.588989394244"/>
        <n v="9187.909641082639"/>
        <n v="10011.700717608983"/>
        <n v="6831.387540011427"/>
        <n v="6508.011248835683"/>
        <n v="10066.650700808408"/>
        <n v="10008.323305548402"/>
        <n v="4193.63782877431"/>
        <n v="5236.479878229697"/>
        <n v="4254.615178377662"/>
        <n v="-8324.173996675585"/>
        <n v="-3959.3717933837324"/>
        <n v="-9714.413895078935"/>
        <n v="-15387.379246029246"/>
        <n v="-6517.488157203712"/>
        <n v="-5852.645794294222"/>
        <n v="-5049.11570942137"/>
        <n v="-5979.435987962745"/>
        <n v="-5363.847047863528"/>
        <n v="-11228.66327572515"/>
        <n v="-12163.927643225034"/>
        <n v="-7253.978098470718"/>
        <n v="-5980.358767897429"/>
        <n v="5888.3406302207295"/>
        <n v="-7292.002643532469"/>
        <n v="-14054.142412407324"/>
        <n v="-20872.0721305139"/>
        <n v="-21686.02437670913"/>
        <n v="-9507.64392600875"/>
        <n v="-9853.365131640108"/>
        <n v="-8337.950798996986"/>
        <n v="-14267.297021318635"/>
        <n v="-19539.140585212794"/>
        <n v="-22138.08095758193"/>
        <n v="-22751.4460053051"/>
        <n v="-13137.709237315023"/>
        <n v="-14412.270438514097"/>
        <n v="-9614.044395415869"/>
        <n v="6906.277319327826"/>
        <n v="5900.468347054135"/>
        <n v="7723.79189574669"/>
        <n v="8478.381972248913"/>
        <n v="4817.434086640016"/>
        <n v="5191.014668512311"/>
        <n v="3026.1381297964326"/>
        <n v="2120.0604173071624"/>
        <n v="4277.411866179558"/>
        <n v="7319.646305686416"/>
        <n v="10548.303438207731"/>
        <n v="5231.300152034863"/>
        <n v="4906.021625956535"/>
        <n v="3892.616368670242"/>
        <n v="5252.600103088014"/>
        <n v="4320.349687352726"/>
        <n v="15539.057364626613"/>
        <n v="16141.020646217075"/>
        <n v="7698.793414074076"/>
        <n v="7176.040333098121"/>
        <n v="6129.010313951985"/>
        <n v="1628.2245172917537"/>
        <n v="1832.0057651227398"/>
        <n v="4881.937080895528"/>
        <n v="7072.252734725509"/>
        <n v="5233.51530777158"/>
        <n v="16252.536439363132"/>
        <n v="11129.153685360914"/>
        <n v="9186.165786498867"/>
        <n v="8303.168601393343"/>
        <n v="10302.253455413142"/>
        <n v="10844.07742296264"/>
        <n v="6144.149147212622"/>
        <n v="5951.205891413105"/>
        <n v="4228.646422339436"/>
        <n v="3205.7172987644044"/>
        <n v="2630.119379923515"/>
        <n v="7370.1776108902195"/>
        <n v="8787.212770121492"/>
        <n v="4594.993239937889"/>
        <n v="5420.00389705749"/>
        <n v="3662.4797316509575"/>
        <n v="3993.988023001686"/>
        <n v="3610.0688279303067"/>
        <n v="9210.267840662142"/>
        <n v="9732.577643683122"/>
        <n v="4747.96422751715"/>
        <n v="3783.874796104421"/>
        <n v="6950.230888611652"/>
        <n v="6400.866410152317"/>
        <n v="5473.277304550982"/>
        <n v="9948.627456851042"/>
        <n v="11800.309444213315"/>
        <n v="6287.318614740281"/>
        <n v="7704.444671638594"/>
        <n v="16255.427281455355"/>
        <n v="11354.371847322007"/>
        <n v="7625.593904472495"/>
        <n v="11673.675198531855"/>
        <n v="12622.728240383323"/>
        <n v="6208.832277654015"/>
        <n v="6557.894578939784"/>
        <n v="5787.4506994438125"/>
        <n v="4568.028098460418"/>
        <n v="3977.911673147566"/>
        <n v="8383.184277844295"/>
        <n v="8735.695167255151"/>
        <n v="4834.17413812349"/>
        <n v="4765.984657874171"/>
        <n v="7404.9304446695605"/>
        <n v="5801.101883067211"/>
      </sharedItems>
    </cacheField>
    <cacheField name="Sales_Status" numFmtId="0">
      <sharedItems>
        <s v="ON SALE"/>
        <s v="Regular"/>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rowGrandTotals="0" compact="0" compactData="0">
  <location ref="A1:C3" firstHeaderRow="0" firstDataRow="2" firstDataCol="0"/>
  <pivotFields>
    <pivotField name="Clea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Year" compact="0" outline="0" multipleItemSelectionAllowed="1" showAll="0">
      <items>
        <item x="0"/>
        <item x="1"/>
        <item x="2"/>
        <item x="3"/>
        <item t="default"/>
      </items>
    </pivotField>
    <pivotField name="Month" compact="0" outline="0" multipleItemSelectionAllowed="1" showAll="0">
      <items>
        <item x="0"/>
        <item x="1"/>
        <item x="2"/>
        <item x="3"/>
        <item x="4"/>
        <item x="5"/>
        <item x="6"/>
        <item x="7"/>
        <item x="8"/>
        <item x="9"/>
        <item x="10"/>
        <item x="11"/>
        <item t="default"/>
      </items>
    </pivotField>
    <pivotField name="Month_Name" compact="0" outline="0" multipleItemSelectionAllowed="1" showAll="0">
      <items>
        <item x="0"/>
        <item x="1"/>
        <item x="2"/>
        <item x="3"/>
        <item x="4"/>
        <item x="5"/>
        <item x="6"/>
        <item x="7"/>
        <item x="8"/>
        <item x="9"/>
        <item x="10"/>
        <item x="11"/>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Cost Of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daily_sales_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daily_cost_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name="gross_profit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t="default"/>
      </items>
    </pivotField>
    <pivotField name="Margi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Sales_Status" axis="axisRow" compact="0" outline="0" multipleItemSelectionAllowed="1" showAll="0" sortType="ascending">
      <items>
        <item x="0"/>
        <item x="1"/>
        <item t="default"/>
      </items>
    </pivotField>
  </pivotFields>
  <rowFields>
    <field x="12"/>
  </rowFields>
  <colFields>
    <field x="-2"/>
  </colFields>
  <dataFields>
    <dataField name="SUM of Sales" fld="4" baseField="0"/>
    <dataField name="SUM of Profit" fld="11" baseField="0"/>
  </dataFields>
</pivotTableDefinition>
</file>

<file path=xl/pivotTables/pivotTable2.xml><?xml version="1.0" encoding="utf-8"?>
<pivotTableDefinition xmlns="http://schemas.openxmlformats.org/spreadsheetml/2006/main" name="Pivot Table 4 2" cacheId="0" dataCaption="" compact="0" compactData="0">
  <location ref="I4:I5" firstHeaderRow="0" firstDataRow="0" firstDataCol="0"/>
  <pivotFields>
    <pivotField name="Clea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Year" compact="0" outline="0" multipleItemSelectionAllowed="1" showAll="0">
      <items>
        <item x="0"/>
        <item x="1"/>
        <item x="2"/>
        <item x="3"/>
        <item t="default"/>
      </items>
    </pivotField>
    <pivotField name="Month" compact="0" outline="0" multipleItemSelectionAllowed="1" showAll="0">
      <items>
        <item x="0"/>
        <item x="1"/>
        <item x="2"/>
        <item x="3"/>
        <item x="4"/>
        <item x="5"/>
        <item x="6"/>
        <item x="7"/>
        <item x="8"/>
        <item x="9"/>
        <item x="10"/>
        <item x="11"/>
        <item t="default"/>
      </items>
    </pivotField>
    <pivotField name="Month_Name" compact="0" outline="0" multipleItemSelectionAllowed="1" showAll="0">
      <items>
        <item x="0"/>
        <item x="1"/>
        <item x="2"/>
        <item x="3"/>
        <item x="4"/>
        <item x="5"/>
        <item x="6"/>
        <item x="7"/>
        <item x="8"/>
        <item x="9"/>
        <item x="10"/>
        <item x="11"/>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Cost Of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daily_sales_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daily_cost_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name="gross_profit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t="default"/>
      </items>
    </pivotField>
    <pivotField name="Margin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Sales_Status" compact="0" outline="0" multipleItemSelectionAllowed="1" showAll="0">
      <items>
        <item x="0"/>
        <item x="1"/>
        <item t="default"/>
      </items>
    </pivotField>
  </pivotFields>
  <dataFields>
    <dataField name="SUM of Margin %" fld="10" baseField="0"/>
  </dataFields>
</pivotTableDefinition>
</file>

<file path=xl/pivotTables/pivotTable3.xml><?xml version="1.0" encoding="utf-8"?>
<pivotTableDefinition xmlns="http://schemas.openxmlformats.org/spreadsheetml/2006/main" name="Pivot Table 4 3" cacheId="0" dataCaption="" compact="0" compactData="0">
  <location ref="A8:B11" firstHeaderRow="0" firstDataRow="1" firstDataCol="0"/>
  <pivotFields>
    <pivotField name="Clea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Year" compact="0" outline="0" multipleItemSelectionAllowed="1" showAll="0">
      <items>
        <item x="0"/>
        <item x="1"/>
        <item x="2"/>
        <item x="3"/>
        <item t="default"/>
      </items>
    </pivotField>
    <pivotField name="Month" compact="0" outline="0" multipleItemSelectionAllowed="1" showAll="0">
      <items>
        <item x="0"/>
        <item x="1"/>
        <item x="2"/>
        <item x="3"/>
        <item x="4"/>
        <item x="5"/>
        <item x="6"/>
        <item x="7"/>
        <item x="8"/>
        <item x="9"/>
        <item x="10"/>
        <item x="11"/>
        <item t="default"/>
      </items>
    </pivotField>
    <pivotField name="Month_Name" compact="0" outline="0" multipleItemSelectionAllowed="1" showAll="0">
      <items>
        <item x="0"/>
        <item x="1"/>
        <item x="2"/>
        <item x="3"/>
        <item x="4"/>
        <item x="5"/>
        <item x="6"/>
        <item x="7"/>
        <item x="8"/>
        <item x="9"/>
        <item x="10"/>
        <item x="11"/>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Cost Of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daily_sales_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daily_cost_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name="gross_profit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t="default"/>
      </items>
    </pivotField>
    <pivotField name="Margi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Sales_Status" axis="axisRow" compact="0" outline="0" multipleItemSelectionAllowed="1" showAll="0" sortType="ascending">
      <items>
        <item x="0"/>
        <item x="1"/>
        <item t="default"/>
      </items>
    </pivotField>
  </pivotFields>
  <rowFields>
    <field x="12"/>
  </rowFields>
  <dataFields>
    <dataField name="SUM of Sales" fld="4" baseField="0"/>
  </dataFields>
</pivotTableDefinition>
</file>

<file path=xl/pivotTables/pivotTable4.xml><?xml version="1.0" encoding="utf-8"?>
<pivotTableDefinition xmlns="http://schemas.openxmlformats.org/spreadsheetml/2006/main" name="Pivot Table 4 4" cacheId="0" dataCaption="" compact="0" compactData="0">
  <location ref="A16:A17" firstHeaderRow="0" firstDataRow="0" firstDataCol="0"/>
  <pivotFields>
    <pivotField name="Clea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Year" compact="0" outline="0" multipleItemSelectionAllowed="1" showAll="0">
      <items>
        <item x="0"/>
        <item x="1"/>
        <item x="2"/>
        <item x="3"/>
        <item t="default"/>
      </items>
    </pivotField>
    <pivotField name="Month" compact="0" outline="0" multipleItemSelectionAllowed="1" showAll="0">
      <items>
        <item x="0"/>
        <item x="1"/>
        <item x="2"/>
        <item x="3"/>
        <item x="4"/>
        <item x="5"/>
        <item x="6"/>
        <item x="7"/>
        <item x="8"/>
        <item x="9"/>
        <item x="10"/>
        <item x="11"/>
        <item t="default"/>
      </items>
    </pivotField>
    <pivotField name="Month_Name" compact="0" outline="0" multipleItemSelectionAllowed="1" showAll="0">
      <items>
        <item x="0"/>
        <item x="1"/>
        <item x="2"/>
        <item x="3"/>
        <item x="4"/>
        <item x="5"/>
        <item x="6"/>
        <item x="7"/>
        <item x="8"/>
        <item x="9"/>
        <item x="10"/>
        <item x="11"/>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Cost Of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daily_sales_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daily_cost_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name="gross_profit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t="default"/>
      </items>
    </pivotField>
    <pivotField name="Margi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Sales_Status" compact="0" outline="0" multipleItemSelectionAllowed="1" showAll="0">
      <items>
        <item x="0"/>
        <item x="1"/>
        <item t="default"/>
      </items>
    </pivotField>
  </pivotFields>
  <dataFields>
    <dataField name="SUM of Sales" fld="4" baseField="0"/>
  </dataFields>
</pivotTableDefinition>
</file>

<file path=xl/pivotTables/pivotTable5.xml><?xml version="1.0" encoding="utf-8"?>
<pivotTableDefinition xmlns="http://schemas.openxmlformats.org/spreadsheetml/2006/main" name="Pivot Table 4 5" cacheId="0" dataCaption="" compact="0" compactData="0">
  <location ref="A23:A24" firstHeaderRow="0" firstDataRow="0" firstDataCol="0"/>
  <pivotFields>
    <pivotField name="Clea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Year" compact="0" outline="0" multipleItemSelectionAllowed="1" showAll="0">
      <items>
        <item x="0"/>
        <item x="1"/>
        <item x="2"/>
        <item x="3"/>
        <item t="default"/>
      </items>
    </pivotField>
    <pivotField name="Month" compact="0" outline="0" multipleItemSelectionAllowed="1" showAll="0">
      <items>
        <item x="0"/>
        <item x="1"/>
        <item x="2"/>
        <item x="3"/>
        <item x="4"/>
        <item x="5"/>
        <item x="6"/>
        <item x="7"/>
        <item x="8"/>
        <item x="9"/>
        <item x="10"/>
        <item x="11"/>
        <item t="default"/>
      </items>
    </pivotField>
    <pivotField name="Month_Name" compact="0" outline="0" multipleItemSelectionAllowed="1" showAll="0">
      <items>
        <item x="0"/>
        <item x="1"/>
        <item x="2"/>
        <item x="3"/>
        <item x="4"/>
        <item x="5"/>
        <item x="6"/>
        <item x="7"/>
        <item x="8"/>
        <item x="9"/>
        <item x="10"/>
        <item x="11"/>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Cost Of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daily_sales_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daily_cost_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name="gross_profit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t="default"/>
      </items>
    </pivotField>
    <pivotField name="Margin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Sales_Status" compact="0" outline="0" multipleItemSelectionAllowed="1" showAll="0">
      <items>
        <item x="0"/>
        <item x="1"/>
        <item t="default"/>
      </items>
    </pivotField>
  </pivotFields>
  <dataFields>
    <dataField name="SUM of Margin %" fld="10" baseField="0"/>
  </dataFields>
</pivotTableDefinition>
</file>

<file path=xl/pivotTables/pivotTable6.xml><?xml version="1.0" encoding="utf-8"?>
<pivotTableDefinition xmlns="http://schemas.openxmlformats.org/spreadsheetml/2006/main" name="Pivot Table 4 6" cacheId="0" dataCaption="" compact="0" compactData="0">
  <location ref="I29:I30" firstHeaderRow="0" firstDataRow="0" firstDataCol="0"/>
  <pivotFields>
    <pivotField name="Clea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Year" compact="0" outline="0" multipleItemSelectionAllowed="1" showAll="0">
      <items>
        <item x="0"/>
        <item x="1"/>
        <item x="2"/>
        <item x="3"/>
        <item t="default"/>
      </items>
    </pivotField>
    <pivotField name="Month" compact="0" outline="0" multipleItemSelectionAllowed="1" showAll="0">
      <items>
        <item x="0"/>
        <item x="1"/>
        <item x="2"/>
        <item x="3"/>
        <item x="4"/>
        <item x="5"/>
        <item x="6"/>
        <item x="7"/>
        <item x="8"/>
        <item x="9"/>
        <item x="10"/>
        <item x="11"/>
        <item t="default"/>
      </items>
    </pivotField>
    <pivotField name="Month_Name" compact="0" outline="0" multipleItemSelectionAllowed="1" showAll="0">
      <items>
        <item x="0"/>
        <item x="1"/>
        <item x="2"/>
        <item x="3"/>
        <item x="4"/>
        <item x="5"/>
        <item x="6"/>
        <item x="7"/>
        <item x="8"/>
        <item x="9"/>
        <item x="10"/>
        <item x="11"/>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Cost Of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daily_sales_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daily_cost_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name="gross_profit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t="default"/>
      </items>
    </pivotField>
    <pivotField name="Margi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Sales_Status" compact="0" outline="0" multipleItemSelectionAllowed="1" showAll="0">
      <items>
        <item x="0"/>
        <item x="1"/>
        <item t="default"/>
      </items>
    </pivotField>
  </pivotFields>
  <dataFields>
    <dataField name="SUM of Profit" fld="11" baseField="0"/>
  </dataFields>
</pivotTableDefinition>
</file>

<file path=xl/pivotTables/pivotTable7.xml><?xml version="1.0" encoding="utf-8"?>
<pivotTableDefinition xmlns="http://schemas.openxmlformats.org/spreadsheetml/2006/main" name="Pivot Table 3" cacheId="0" dataCaption="" rowGrandTotals="0" compact="0" compactData="0">
  <location ref="A1:B3" firstHeaderRow="0" firstDataRow="1" firstDataCol="0"/>
  <pivotFields>
    <pivotField name="Clea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Year" compact="0" outline="0" multipleItemSelectionAllowed="1" showAll="0">
      <items>
        <item x="0"/>
        <item x="1"/>
        <item x="2"/>
        <item x="3"/>
        <item t="default"/>
      </items>
    </pivotField>
    <pivotField name="Month" compact="0" outline="0" multipleItemSelectionAllowed="1" showAll="0">
      <items>
        <item x="0"/>
        <item x="1"/>
        <item x="2"/>
        <item x="3"/>
        <item x="4"/>
        <item x="5"/>
        <item x="6"/>
        <item x="7"/>
        <item x="8"/>
        <item x="9"/>
        <item x="10"/>
        <item x="11"/>
        <item t="default"/>
      </items>
    </pivotField>
    <pivotField name="Month_Name" compact="0" outline="0" multipleItemSelectionAllowed="1" showAll="0">
      <items>
        <item x="0"/>
        <item x="1"/>
        <item x="2"/>
        <item x="3"/>
        <item x="4"/>
        <item x="5"/>
        <item x="6"/>
        <item x="7"/>
        <item x="8"/>
        <item x="9"/>
        <item x="10"/>
        <item x="11"/>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Cost Of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daily_sales_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daily_cost_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name="gross_profit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t="default"/>
      </items>
    </pivotField>
    <pivotField name="Margi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Sales_Status" axis="axisRow" compact="0" outline="0" multipleItemSelectionAllowed="1" showAll="0" sortType="ascending">
      <items>
        <item x="0"/>
        <item x="1"/>
        <item t="default"/>
      </items>
    </pivotField>
  </pivotFields>
  <rowFields>
    <field x="12"/>
  </rowFields>
  <dataFields>
    <dataField name="AVERAGE of Sales" fld="4" subtotal="average" baseField="0"/>
  </dataFields>
</pivotTableDefinition>
</file>

<file path=xl/pivotTables/pivotTable8.xml><?xml version="1.0" encoding="utf-8"?>
<pivotTableDefinition xmlns="http://schemas.openxmlformats.org/spreadsheetml/2006/main" name="Pivot Table 3 2" cacheId="0" dataCaption="" rowGrandTotals="0" compact="0" compactData="0">
  <location ref="A9:B11" firstHeaderRow="0" firstDataRow="1" firstDataCol="0"/>
  <pivotFields>
    <pivotField name="Clea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Year" compact="0" outline="0" multipleItemSelectionAllowed="1" showAll="0">
      <items>
        <item x="0"/>
        <item x="1"/>
        <item x="2"/>
        <item x="3"/>
        <item t="default"/>
      </items>
    </pivotField>
    <pivotField name="Month" compact="0" outline="0" multipleItemSelectionAllowed="1" showAll="0">
      <items>
        <item x="0"/>
        <item x="1"/>
        <item x="2"/>
        <item x="3"/>
        <item x="4"/>
        <item x="5"/>
        <item x="6"/>
        <item x="7"/>
        <item x="8"/>
        <item x="9"/>
        <item x="10"/>
        <item x="11"/>
        <item t="default"/>
      </items>
    </pivotField>
    <pivotField name="Month_Name" compact="0" outline="0" multipleItemSelectionAllowed="1" showAll="0">
      <items>
        <item x="0"/>
        <item x="1"/>
        <item x="2"/>
        <item x="3"/>
        <item x="4"/>
        <item x="5"/>
        <item x="6"/>
        <item x="7"/>
        <item x="8"/>
        <item x="9"/>
        <item x="10"/>
        <item x="11"/>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name="Cost Of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Quantity 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name="daily_sales_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daily_cost_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t="default"/>
      </items>
    </pivotField>
    <pivotField name="gross_profit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t="default"/>
      </items>
    </pivotField>
    <pivotField name="Margi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Sales_Status" axis="axisRow" compact="0" outline="0" multipleItemSelectionAllowed="1" showAll="0" sortType="ascending">
      <items>
        <item x="0"/>
        <item x="1"/>
        <item t="default"/>
      </items>
    </pivotField>
  </pivotFields>
  <rowFields>
    <field x="12"/>
  </rowFields>
  <dataFields>
    <dataField name="AVERAGE of Quantity Sold" fld="6"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Year">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Year_1" cache="SlicerCache_Table_1_Col_2" caption="Year" rowHeight="247650"/>
</x14:slicers>
</file>

<file path=xl/tables/table1.xml><?xml version="1.0" encoding="utf-8"?>
<table xmlns="http://schemas.openxmlformats.org/spreadsheetml/2006/main" ref="A1:K1054" displayName="Table_1" name="Table_1" id="1">
  <autoFilter ref="$A$1:$K$1054"/>
  <tableColumns count="11">
    <tableColumn name="Clean_Date" id="1"/>
    <tableColumn name="Year" id="2"/>
    <tableColumn name="Month" id="3"/>
    <tableColumn name="Month_Name" id="4"/>
    <tableColumn name="Sales" id="5"/>
    <tableColumn name="Cost Of Sales" id="6"/>
    <tableColumn name="Quantity Sold" id="7"/>
    <tableColumn name="daily_sales_price_per_unit" id="8"/>
    <tableColumn name="daily_cost_price_per_unit" id="9"/>
    <tableColumn name="gross_profit_per_unit" id="10"/>
    <tableColumn name="Margin %" id="1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pivotTable" Target="../pivotTables/pivotTable8.xm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8" max="8" width="14.33"/>
  </cols>
  <sheetData>
    <row r="1" ht="12.75" customHeight="1">
      <c r="A1" s="1" t="s">
        <v>0</v>
      </c>
      <c r="B1" s="1" t="s">
        <v>1</v>
      </c>
      <c r="C1" s="1" t="s">
        <v>2</v>
      </c>
      <c r="D1" s="1" t="s">
        <v>3</v>
      </c>
      <c r="E1" s="1" t="s">
        <v>4</v>
      </c>
      <c r="F1" s="1" t="s">
        <v>5</v>
      </c>
      <c r="G1" s="1" t="s">
        <v>6</v>
      </c>
      <c r="H1" s="1" t="s">
        <v>7</v>
      </c>
      <c r="I1" s="1" t="s">
        <v>8</v>
      </c>
      <c r="J1" s="1" t="s">
        <v>9</v>
      </c>
      <c r="K1" s="2" t="s">
        <v>10</v>
      </c>
      <c r="L1" s="2" t="s">
        <v>11</v>
      </c>
      <c r="M1" s="2" t="s">
        <v>12</v>
      </c>
      <c r="N1" s="2" t="s">
        <v>13</v>
      </c>
      <c r="O1" s="2" t="s">
        <v>14</v>
      </c>
      <c r="P1" s="2" t="s">
        <v>15</v>
      </c>
    </row>
    <row r="2">
      <c r="A2" s="3">
        <v>41638.0</v>
      </c>
      <c r="B2" s="1">
        <v>2013.0</v>
      </c>
      <c r="C2" s="1">
        <v>12.0</v>
      </c>
      <c r="D2" s="1" t="s">
        <v>16</v>
      </c>
      <c r="E2" s="1">
        <v>223937.96786972653</v>
      </c>
      <c r="F2" s="1">
        <v>230079.62101244804</v>
      </c>
      <c r="G2" s="1">
        <v>6827.0</v>
      </c>
      <c r="H2" s="1">
        <v>32.8</v>
      </c>
      <c r="I2" s="1">
        <v>33.7</v>
      </c>
      <c r="J2" s="1">
        <v>-0.9</v>
      </c>
      <c r="K2" s="1">
        <v>-2.74</v>
      </c>
      <c r="L2" s="1">
        <f t="shared" ref="L2:L1054" si="1">E2-F2</f>
        <v>-6141.653143</v>
      </c>
      <c r="M2" s="1" t="str">
        <f t="shared" ref="M2:M1054" si="2">IF(K2&lt;0,"ON SALE","Regular")</f>
        <v>ON SALE</v>
      </c>
      <c r="N2" s="1">
        <f t="shared" ref="N2:N1054" si="3">SUM(E2:E1054/G2:G1054)</f>
        <v>32.80181161</v>
      </c>
      <c r="O2" s="1">
        <f t="shared" ref="O2:O1054" si="4">SUM(F2:F1054)/SUM(G2:G1054)</f>
        <v>36.74826008</v>
      </c>
      <c r="P2" s="4">
        <f t="shared" ref="P2:P1054" si="5">SUM(L2:L1054)/SUM(E2:E1054)</f>
        <v>-0.03807333866</v>
      </c>
    </row>
    <row r="3">
      <c r="A3" s="3">
        <v>41639.0</v>
      </c>
      <c r="B3" s="1">
        <v>2013.0</v>
      </c>
      <c r="C3" s="1">
        <v>12.0</v>
      </c>
      <c r="D3" s="1" t="s">
        <v>16</v>
      </c>
      <c r="E3" s="1">
        <v>300345.48456398566</v>
      </c>
      <c r="F3" s="1">
        <v>306986.1204842832</v>
      </c>
      <c r="G3" s="1">
        <v>9268.0</v>
      </c>
      <c r="H3" s="1">
        <v>32.41</v>
      </c>
      <c r="I3" s="1">
        <v>33.12</v>
      </c>
      <c r="J3" s="1">
        <v>-0.72</v>
      </c>
      <c r="K3" s="1">
        <v>-2.21</v>
      </c>
      <c r="L3" s="1">
        <f t="shared" si="1"/>
        <v>-6640.63592</v>
      </c>
      <c r="M3" s="1" t="str">
        <f t="shared" si="2"/>
        <v>ON SALE</v>
      </c>
      <c r="N3" s="1">
        <f t="shared" si="3"/>
        <v>32.40672039</v>
      </c>
      <c r="O3" s="1">
        <f t="shared" si="4"/>
        <v>36.75220481</v>
      </c>
      <c r="P3" s="4">
        <f t="shared" si="5"/>
        <v>-0.03808611099</v>
      </c>
    </row>
    <row r="4">
      <c r="A4" s="3">
        <v>41640.0</v>
      </c>
      <c r="B4" s="1">
        <v>2014.0</v>
      </c>
      <c r="C4" s="1">
        <v>1.0</v>
      </c>
      <c r="D4" s="1" t="s">
        <v>17</v>
      </c>
      <c r="E4" s="1">
        <v>86782.4677274178</v>
      </c>
      <c r="F4" s="1">
        <v>87986.31821444989</v>
      </c>
      <c r="G4" s="1">
        <v>2678.0</v>
      </c>
      <c r="H4" s="1">
        <v>32.41</v>
      </c>
      <c r="I4" s="1">
        <v>32.86</v>
      </c>
      <c r="J4" s="1">
        <v>-0.45</v>
      </c>
      <c r="K4" s="1">
        <v>-1.39</v>
      </c>
      <c r="L4" s="1">
        <f t="shared" si="1"/>
        <v>-1203.850487</v>
      </c>
      <c r="M4" s="1" t="str">
        <f t="shared" si="2"/>
        <v>ON SALE</v>
      </c>
      <c r="N4" s="1">
        <f t="shared" si="3"/>
        <v>32.40570117</v>
      </c>
      <c r="O4" s="1">
        <f t="shared" si="4"/>
        <v>36.75859439</v>
      </c>
      <c r="P4" s="4">
        <f t="shared" si="5"/>
        <v>-0.03811185523</v>
      </c>
    </row>
    <row r="5">
      <c r="A5" s="3">
        <v>41641.0</v>
      </c>
      <c r="B5" s="1">
        <v>2014.0</v>
      </c>
      <c r="C5" s="1">
        <v>1.0</v>
      </c>
      <c r="D5" s="1" t="s">
        <v>17</v>
      </c>
      <c r="E5" s="1">
        <v>200173.11675267716</v>
      </c>
      <c r="F5" s="1">
        <v>202881.17770623261</v>
      </c>
      <c r="G5" s="1">
        <v>6175.0</v>
      </c>
      <c r="H5" s="1">
        <v>32.42</v>
      </c>
      <c r="I5" s="1">
        <v>32.86</v>
      </c>
      <c r="J5" s="1">
        <v>-0.44</v>
      </c>
      <c r="K5" s="1">
        <v>-1.35</v>
      </c>
      <c r="L5" s="1">
        <f t="shared" si="1"/>
        <v>-2708.060954</v>
      </c>
      <c r="M5" s="1" t="str">
        <f t="shared" si="2"/>
        <v>ON SALE</v>
      </c>
      <c r="N5" s="1">
        <f t="shared" si="3"/>
        <v>32.41669907</v>
      </c>
      <c r="O5" s="1">
        <f t="shared" si="4"/>
        <v>36.76058128</v>
      </c>
      <c r="P5" s="4">
        <f t="shared" si="5"/>
        <v>-0.03812314672</v>
      </c>
    </row>
    <row r="6">
      <c r="A6" s="3">
        <v>41642.0</v>
      </c>
      <c r="B6" s="1">
        <v>2014.0</v>
      </c>
      <c r="C6" s="1">
        <v>1.0</v>
      </c>
      <c r="D6" s="1" t="s">
        <v>17</v>
      </c>
      <c r="E6" s="1">
        <v>326906.07417633064</v>
      </c>
      <c r="F6" s="1">
        <v>333806.2918733548</v>
      </c>
      <c r="G6" s="1">
        <v>10084.0</v>
      </c>
      <c r="H6" s="1">
        <v>32.42</v>
      </c>
      <c r="I6" s="1">
        <v>33.1</v>
      </c>
      <c r="J6" s="1">
        <v>-0.68</v>
      </c>
      <c r="K6" s="1">
        <v>-2.11</v>
      </c>
      <c r="L6" s="1">
        <f t="shared" si="1"/>
        <v>-6900.217697</v>
      </c>
      <c r="M6" s="1" t="str">
        <f t="shared" si="2"/>
        <v>ON SALE</v>
      </c>
      <c r="N6" s="1">
        <f t="shared" si="3"/>
        <v>32.41829375</v>
      </c>
      <c r="O6" s="1">
        <f t="shared" si="4"/>
        <v>36.76517038</v>
      </c>
      <c r="P6" s="4">
        <f t="shared" si="5"/>
        <v>-0.03814960134</v>
      </c>
    </row>
    <row r="7">
      <c r="A7" s="3">
        <v>41643.0</v>
      </c>
      <c r="B7" s="1">
        <v>2014.0</v>
      </c>
      <c r="C7" s="1">
        <v>1.0</v>
      </c>
      <c r="D7" s="1" t="s">
        <v>17</v>
      </c>
      <c r="E7" s="1">
        <v>307043.9354221619</v>
      </c>
      <c r="F7" s="1">
        <v>313652.34827236354</v>
      </c>
      <c r="G7" s="1">
        <v>9470.0</v>
      </c>
      <c r="H7" s="1">
        <v>32.42</v>
      </c>
      <c r="I7" s="1">
        <v>33.12</v>
      </c>
      <c r="J7" s="1">
        <v>-0.7</v>
      </c>
      <c r="K7" s="1">
        <v>-2.15</v>
      </c>
      <c r="L7" s="1">
        <f t="shared" si="1"/>
        <v>-6608.41285</v>
      </c>
      <c r="M7" s="1" t="str">
        <f t="shared" si="2"/>
        <v>ON SALE</v>
      </c>
      <c r="N7" s="1">
        <f t="shared" si="3"/>
        <v>32.42280205</v>
      </c>
      <c r="O7" s="1">
        <f t="shared" si="4"/>
        <v>36.77221229</v>
      </c>
      <c r="P7" s="4">
        <f t="shared" si="5"/>
        <v>-0.03817959041</v>
      </c>
    </row>
    <row r="8">
      <c r="A8" s="3">
        <v>41644.0</v>
      </c>
      <c r="B8" s="1">
        <v>2014.0</v>
      </c>
      <c r="C8" s="1">
        <v>1.0</v>
      </c>
      <c r="D8" s="1" t="s">
        <v>17</v>
      </c>
      <c r="E8" s="1">
        <v>179188.88448780973</v>
      </c>
      <c r="F8" s="1">
        <v>183083.28498402698</v>
      </c>
      <c r="G8" s="1">
        <v>5524.0</v>
      </c>
      <c r="H8" s="1">
        <v>32.44</v>
      </c>
      <c r="I8" s="1">
        <v>33.14</v>
      </c>
      <c r="J8" s="1">
        <v>-0.7</v>
      </c>
      <c r="K8" s="1">
        <v>-2.17</v>
      </c>
      <c r="L8" s="1">
        <f t="shared" si="1"/>
        <v>-3894.400496</v>
      </c>
      <c r="M8" s="1" t="str">
        <f t="shared" si="2"/>
        <v>ON SALE</v>
      </c>
      <c r="N8" s="1">
        <f t="shared" si="3"/>
        <v>32.43824846</v>
      </c>
      <c r="O8" s="1">
        <f t="shared" si="4"/>
        <v>36.77881746</v>
      </c>
      <c r="P8" s="4">
        <f t="shared" si="5"/>
        <v>-0.03820716655</v>
      </c>
    </row>
    <row r="9">
      <c r="A9" s="3">
        <v>41645.0</v>
      </c>
      <c r="B9" s="1">
        <v>2014.0</v>
      </c>
      <c r="C9" s="1">
        <v>1.0</v>
      </c>
      <c r="D9" s="1" t="s">
        <v>17</v>
      </c>
      <c r="E9" s="1">
        <v>306351.9508589919</v>
      </c>
      <c r="F9" s="1">
        <v>313446.068148843</v>
      </c>
      <c r="G9" s="1">
        <v>9448.0</v>
      </c>
      <c r="H9" s="1">
        <v>32.43</v>
      </c>
      <c r="I9" s="1">
        <v>33.18</v>
      </c>
      <c r="J9" s="1">
        <v>-0.75</v>
      </c>
      <c r="K9" s="1">
        <v>-2.32</v>
      </c>
      <c r="L9" s="1">
        <f t="shared" si="1"/>
        <v>-7094.11729</v>
      </c>
      <c r="M9" s="1" t="str">
        <f t="shared" si="2"/>
        <v>ON SALE</v>
      </c>
      <c r="N9" s="1">
        <f t="shared" si="3"/>
        <v>32.4250583</v>
      </c>
      <c r="O9" s="1">
        <f t="shared" si="4"/>
        <v>36.78265752</v>
      </c>
      <c r="P9" s="4">
        <f t="shared" si="5"/>
        <v>-0.03822309818</v>
      </c>
    </row>
    <row r="10">
      <c r="A10" s="3">
        <v>41646.0</v>
      </c>
      <c r="B10" s="1">
        <v>2014.0</v>
      </c>
      <c r="C10" s="1">
        <v>1.0</v>
      </c>
      <c r="D10" s="1" t="s">
        <v>17</v>
      </c>
      <c r="E10" s="1">
        <v>224020.40996847834</v>
      </c>
      <c r="F10" s="1">
        <v>229533.97372837967</v>
      </c>
      <c r="G10" s="1">
        <v>6911.0</v>
      </c>
      <c r="H10" s="1">
        <v>32.42</v>
      </c>
      <c r="I10" s="1">
        <v>33.21</v>
      </c>
      <c r="J10" s="1">
        <v>-0.8</v>
      </c>
      <c r="K10" s="1">
        <v>-2.46</v>
      </c>
      <c r="L10" s="1">
        <f t="shared" si="1"/>
        <v>-5513.56376</v>
      </c>
      <c r="M10" s="1" t="str">
        <f t="shared" si="2"/>
        <v>ON SALE</v>
      </c>
      <c r="N10" s="1">
        <f t="shared" si="3"/>
        <v>32.41504992</v>
      </c>
      <c r="O10" s="1">
        <f t="shared" si="4"/>
        <v>36.78918508</v>
      </c>
      <c r="P10" s="4">
        <f t="shared" si="5"/>
        <v>-0.0382480502</v>
      </c>
    </row>
    <row r="11">
      <c r="A11" s="3">
        <v>41647.0</v>
      </c>
      <c r="B11" s="1">
        <v>2014.0</v>
      </c>
      <c r="C11" s="1">
        <v>1.0</v>
      </c>
      <c r="D11" s="1" t="s">
        <v>17</v>
      </c>
      <c r="E11" s="1">
        <v>101836.4022362371</v>
      </c>
      <c r="F11" s="1">
        <v>99381.96751722493</v>
      </c>
      <c r="G11" s="1">
        <v>2990.0</v>
      </c>
      <c r="H11" s="1">
        <v>34.06</v>
      </c>
      <c r="I11" s="1">
        <v>33.24</v>
      </c>
      <c r="J11" s="1">
        <v>0.82</v>
      </c>
      <c r="K11" s="1">
        <v>2.41</v>
      </c>
      <c r="L11" s="1">
        <f t="shared" si="1"/>
        <v>2454.434719</v>
      </c>
      <c r="M11" s="1" t="str">
        <f t="shared" si="2"/>
        <v>Regular</v>
      </c>
      <c r="N11" s="1">
        <f t="shared" si="3"/>
        <v>34.0589974</v>
      </c>
      <c r="O11" s="1">
        <f t="shared" si="4"/>
        <v>36.79392588</v>
      </c>
      <c r="P11" s="4">
        <f t="shared" si="5"/>
        <v>-0.03826458442</v>
      </c>
    </row>
    <row r="12">
      <c r="A12" s="3">
        <v>41648.0</v>
      </c>
      <c r="B12" s="1">
        <v>2014.0</v>
      </c>
      <c r="C12" s="1">
        <v>1.0</v>
      </c>
      <c r="D12" s="1" t="s">
        <v>17</v>
      </c>
      <c r="E12" s="1">
        <v>107804.30494723172</v>
      </c>
      <c r="F12" s="1">
        <v>104816.45851255264</v>
      </c>
      <c r="G12" s="1">
        <v>3159.0</v>
      </c>
      <c r="H12" s="1">
        <v>34.13</v>
      </c>
      <c r="I12" s="1">
        <v>33.18</v>
      </c>
      <c r="J12" s="1">
        <v>0.95</v>
      </c>
      <c r="K12" s="1">
        <v>2.77</v>
      </c>
      <c r="L12" s="1">
        <f t="shared" si="1"/>
        <v>2987.846435</v>
      </c>
      <c r="M12" s="1" t="str">
        <f t="shared" si="2"/>
        <v>Regular</v>
      </c>
      <c r="N12" s="1">
        <f t="shared" si="3"/>
        <v>34.12608577</v>
      </c>
      <c r="O12" s="1">
        <f t="shared" si="4"/>
        <v>36.79596635</v>
      </c>
      <c r="P12" s="4">
        <f t="shared" si="5"/>
        <v>-0.03829897949</v>
      </c>
    </row>
    <row r="13">
      <c r="A13" s="3">
        <v>41649.0</v>
      </c>
      <c r="B13" s="1">
        <v>2014.0</v>
      </c>
      <c r="C13" s="1">
        <v>1.0</v>
      </c>
      <c r="D13" s="1" t="s">
        <v>17</v>
      </c>
      <c r="E13" s="1">
        <v>144829.95672393017</v>
      </c>
      <c r="F13" s="1">
        <v>141333.99628349254</v>
      </c>
      <c r="G13" s="1">
        <v>4246.0</v>
      </c>
      <c r="H13" s="1">
        <v>34.11</v>
      </c>
      <c r="I13" s="1">
        <v>33.29</v>
      </c>
      <c r="J13" s="1">
        <v>0.82</v>
      </c>
      <c r="K13" s="1">
        <v>2.41</v>
      </c>
      <c r="L13" s="1">
        <f t="shared" si="1"/>
        <v>3495.96044</v>
      </c>
      <c r="M13" s="1" t="str">
        <f t="shared" si="2"/>
        <v>Regular</v>
      </c>
      <c r="N13" s="1">
        <f t="shared" si="3"/>
        <v>34.10974016</v>
      </c>
      <c r="O13" s="1">
        <f t="shared" si="4"/>
        <v>36.79815979</v>
      </c>
      <c r="P13" s="4">
        <f t="shared" si="5"/>
        <v>-0.03833754258</v>
      </c>
    </row>
    <row r="14">
      <c r="A14" s="3">
        <v>41650.0</v>
      </c>
      <c r="B14" s="1">
        <v>2014.0</v>
      </c>
      <c r="C14" s="1">
        <v>1.0</v>
      </c>
      <c r="D14" s="1" t="s">
        <v>17</v>
      </c>
      <c r="E14" s="1">
        <v>146571.48235324016</v>
      </c>
      <c r="F14" s="1">
        <v>143179.66998839285</v>
      </c>
      <c r="G14" s="1">
        <v>4297.0</v>
      </c>
      <c r="H14" s="1">
        <v>34.11</v>
      </c>
      <c r="I14" s="1">
        <v>33.32</v>
      </c>
      <c r="J14" s="1">
        <v>0.79</v>
      </c>
      <c r="K14" s="1">
        <v>2.31</v>
      </c>
      <c r="L14" s="1">
        <f t="shared" si="1"/>
        <v>3391.812365</v>
      </c>
      <c r="M14" s="1" t="str">
        <f t="shared" si="2"/>
        <v>Regular</v>
      </c>
      <c r="N14" s="1">
        <f t="shared" si="3"/>
        <v>34.11018905</v>
      </c>
      <c r="O14" s="1">
        <f t="shared" si="4"/>
        <v>36.80102559</v>
      </c>
      <c r="P14" s="4">
        <f t="shared" si="5"/>
        <v>-0.03838661175</v>
      </c>
    </row>
    <row r="15">
      <c r="A15" s="3">
        <v>41651.0</v>
      </c>
      <c r="B15" s="1">
        <v>2014.0</v>
      </c>
      <c r="C15" s="1">
        <v>1.0</v>
      </c>
      <c r="D15" s="1" t="s">
        <v>17</v>
      </c>
      <c r="E15" s="1">
        <v>95422.3729783171</v>
      </c>
      <c r="F15" s="1">
        <v>93126.14723834406</v>
      </c>
      <c r="G15" s="1">
        <v>2796.0</v>
      </c>
      <c r="H15" s="1">
        <v>34.13</v>
      </c>
      <c r="I15" s="1">
        <v>33.31</v>
      </c>
      <c r="J15" s="1">
        <v>0.82</v>
      </c>
      <c r="K15" s="1">
        <v>2.41</v>
      </c>
      <c r="L15" s="1">
        <f t="shared" si="1"/>
        <v>2296.22574</v>
      </c>
      <c r="M15" s="1" t="str">
        <f t="shared" si="2"/>
        <v>Regular</v>
      </c>
      <c r="N15" s="1">
        <f t="shared" si="3"/>
        <v>34.12817345</v>
      </c>
      <c r="O15" s="1">
        <f t="shared" si="4"/>
        <v>36.80390209</v>
      </c>
      <c r="P15" s="4">
        <f t="shared" si="5"/>
        <v>-0.03843555611</v>
      </c>
    </row>
    <row r="16">
      <c r="A16" s="3">
        <v>41652.0</v>
      </c>
      <c r="B16" s="1">
        <v>2014.0</v>
      </c>
      <c r="C16" s="1">
        <v>1.0</v>
      </c>
      <c r="D16" s="1" t="s">
        <v>17</v>
      </c>
      <c r="E16" s="1">
        <v>114883.17379115624</v>
      </c>
      <c r="F16" s="1">
        <v>112186.30866305273</v>
      </c>
      <c r="G16" s="1">
        <v>3369.0</v>
      </c>
      <c r="H16" s="1">
        <v>34.1</v>
      </c>
      <c r="I16" s="1">
        <v>33.3</v>
      </c>
      <c r="J16" s="1">
        <v>0.8</v>
      </c>
      <c r="K16" s="1">
        <v>2.35</v>
      </c>
      <c r="L16" s="1">
        <f t="shared" si="1"/>
        <v>2696.865128</v>
      </c>
      <c r="M16" s="1" t="str">
        <f t="shared" si="2"/>
        <v>Regular</v>
      </c>
      <c r="N16" s="1">
        <f t="shared" si="3"/>
        <v>34.10008127</v>
      </c>
      <c r="O16" s="1">
        <f t="shared" si="4"/>
        <v>36.80578384</v>
      </c>
      <c r="P16" s="4">
        <f t="shared" si="5"/>
        <v>-0.03846794035</v>
      </c>
    </row>
    <row r="17">
      <c r="A17" s="3">
        <v>41653.0</v>
      </c>
      <c r="B17" s="1">
        <v>2014.0</v>
      </c>
      <c r="C17" s="1">
        <v>1.0</v>
      </c>
      <c r="D17" s="1" t="s">
        <v>17</v>
      </c>
      <c r="E17" s="1">
        <v>80090.80007989271</v>
      </c>
      <c r="F17" s="1">
        <v>78096.76018225115</v>
      </c>
      <c r="G17" s="1">
        <v>2348.0</v>
      </c>
      <c r="H17" s="1">
        <v>34.11</v>
      </c>
      <c r="I17" s="1">
        <v>33.26</v>
      </c>
      <c r="J17" s="1">
        <v>0.85</v>
      </c>
      <c r="K17" s="1">
        <v>2.49</v>
      </c>
      <c r="L17" s="1">
        <f t="shared" si="1"/>
        <v>1994.039898</v>
      </c>
      <c r="M17" s="1" t="str">
        <f t="shared" si="2"/>
        <v>Regular</v>
      </c>
      <c r="N17" s="1">
        <f t="shared" si="3"/>
        <v>34.1102215</v>
      </c>
      <c r="O17" s="1">
        <f t="shared" si="4"/>
        <v>36.80805867</v>
      </c>
      <c r="P17" s="4">
        <f t="shared" si="5"/>
        <v>-0.03850660608</v>
      </c>
    </row>
    <row r="18">
      <c r="A18" s="3">
        <v>41654.0</v>
      </c>
      <c r="B18" s="1">
        <v>2014.0</v>
      </c>
      <c r="C18" s="1">
        <v>1.0</v>
      </c>
      <c r="D18" s="1" t="s">
        <v>17</v>
      </c>
      <c r="E18" s="1">
        <v>98945.37115907783</v>
      </c>
      <c r="F18" s="1">
        <v>97159.00258686997</v>
      </c>
      <c r="G18" s="1">
        <v>2903.0</v>
      </c>
      <c r="H18" s="1">
        <v>34.08</v>
      </c>
      <c r="I18" s="1">
        <v>33.47</v>
      </c>
      <c r="J18" s="1">
        <v>0.62</v>
      </c>
      <c r="K18" s="1">
        <v>1.81</v>
      </c>
      <c r="L18" s="1">
        <f t="shared" si="1"/>
        <v>1786.368572</v>
      </c>
      <c r="M18" s="1" t="str">
        <f t="shared" si="2"/>
        <v>Regular</v>
      </c>
      <c r="N18" s="1">
        <f t="shared" si="3"/>
        <v>34.08383436</v>
      </c>
      <c r="O18" s="1">
        <f t="shared" si="4"/>
        <v>36.80966332</v>
      </c>
      <c r="P18" s="4">
        <f t="shared" si="5"/>
        <v>-0.03853420971</v>
      </c>
    </row>
    <row r="19">
      <c r="A19" s="3">
        <v>41655.0</v>
      </c>
      <c r="B19" s="1">
        <v>2014.0</v>
      </c>
      <c r="C19" s="1">
        <v>1.0</v>
      </c>
      <c r="D19" s="1" t="s">
        <v>17</v>
      </c>
      <c r="E19" s="1">
        <v>84904.90171410782</v>
      </c>
      <c r="F19" s="1">
        <v>83350.43315882455</v>
      </c>
      <c r="G19" s="1">
        <v>2491.0</v>
      </c>
      <c r="H19" s="1">
        <v>34.08</v>
      </c>
      <c r="I19" s="1">
        <v>33.46</v>
      </c>
      <c r="J19" s="1">
        <v>0.62</v>
      </c>
      <c r="K19" s="1">
        <v>1.83</v>
      </c>
      <c r="L19" s="1">
        <f t="shared" si="1"/>
        <v>1554.468555</v>
      </c>
      <c r="M19" s="1" t="str">
        <f t="shared" si="2"/>
        <v>Regular</v>
      </c>
      <c r="N19" s="1">
        <f t="shared" si="3"/>
        <v>34.08466548</v>
      </c>
      <c r="O19" s="1">
        <f t="shared" si="4"/>
        <v>36.81153313</v>
      </c>
      <c r="P19" s="4">
        <f t="shared" si="5"/>
        <v>-0.03856466227</v>
      </c>
    </row>
    <row r="20">
      <c r="A20" s="3">
        <v>41656.0</v>
      </c>
      <c r="B20" s="1">
        <v>2014.0</v>
      </c>
      <c r="C20" s="1">
        <v>1.0</v>
      </c>
      <c r="D20" s="1" t="s">
        <v>17</v>
      </c>
      <c r="E20" s="1">
        <v>135460.61970398517</v>
      </c>
      <c r="F20" s="1">
        <v>132703.33541977167</v>
      </c>
      <c r="G20" s="1">
        <v>3968.0</v>
      </c>
      <c r="H20" s="1">
        <v>34.14</v>
      </c>
      <c r="I20" s="1">
        <v>33.44</v>
      </c>
      <c r="J20" s="1">
        <v>0.69</v>
      </c>
      <c r="K20" s="1">
        <v>2.04</v>
      </c>
      <c r="L20" s="1">
        <f t="shared" si="1"/>
        <v>2757.284284</v>
      </c>
      <c r="M20" s="1" t="str">
        <f t="shared" si="2"/>
        <v>Regular</v>
      </c>
      <c r="N20" s="1">
        <f t="shared" si="3"/>
        <v>34.13826101</v>
      </c>
      <c r="O20" s="1">
        <f t="shared" si="4"/>
        <v>36.81314302</v>
      </c>
      <c r="P20" s="4">
        <f t="shared" si="5"/>
        <v>-0.03859093718</v>
      </c>
    </row>
    <row r="21" ht="15.75" customHeight="1">
      <c r="A21" s="3">
        <v>41657.0</v>
      </c>
      <c r="B21" s="1">
        <v>2014.0</v>
      </c>
      <c r="C21" s="1">
        <v>1.0</v>
      </c>
      <c r="D21" s="1" t="s">
        <v>17</v>
      </c>
      <c r="E21" s="1">
        <v>149925.74968577514</v>
      </c>
      <c r="F21" s="1">
        <v>146928.41178089235</v>
      </c>
      <c r="G21" s="1">
        <v>4393.0</v>
      </c>
      <c r="H21" s="1">
        <v>34.13</v>
      </c>
      <c r="I21" s="1">
        <v>33.45</v>
      </c>
      <c r="J21" s="1">
        <v>0.68</v>
      </c>
      <c r="K21" s="1">
        <v>2.0</v>
      </c>
      <c r="L21" s="1">
        <f t="shared" si="1"/>
        <v>2997.337905</v>
      </c>
      <c r="M21" s="1" t="str">
        <f t="shared" si="2"/>
        <v>Regular</v>
      </c>
      <c r="N21" s="1">
        <f t="shared" si="3"/>
        <v>34.12832909</v>
      </c>
      <c r="O21" s="1">
        <f t="shared" si="4"/>
        <v>36.81572388</v>
      </c>
      <c r="P21" s="4">
        <f t="shared" si="5"/>
        <v>-0.03863441707</v>
      </c>
    </row>
    <row r="22" ht="15.75" customHeight="1">
      <c r="A22" s="3">
        <v>41658.0</v>
      </c>
      <c r="B22" s="1">
        <v>2014.0</v>
      </c>
      <c r="C22" s="1">
        <v>1.0</v>
      </c>
      <c r="D22" s="1" t="s">
        <v>17</v>
      </c>
      <c r="E22" s="1">
        <v>74297.30718418294</v>
      </c>
      <c r="F22" s="1">
        <v>72782.28432140293</v>
      </c>
      <c r="G22" s="1">
        <v>2176.0</v>
      </c>
      <c r="H22" s="1">
        <v>34.14</v>
      </c>
      <c r="I22" s="1">
        <v>33.45</v>
      </c>
      <c r="J22" s="1">
        <v>0.7</v>
      </c>
      <c r="K22" s="1">
        <v>2.04</v>
      </c>
      <c r="L22" s="1">
        <f t="shared" si="1"/>
        <v>1515.022863</v>
      </c>
      <c r="M22" s="1" t="str">
        <f t="shared" si="2"/>
        <v>Regular</v>
      </c>
      <c r="N22" s="1">
        <f t="shared" si="3"/>
        <v>34.14398308</v>
      </c>
      <c r="O22" s="1">
        <f t="shared" si="4"/>
        <v>36.81858353</v>
      </c>
      <c r="P22" s="4">
        <f t="shared" si="5"/>
        <v>-0.03868231844</v>
      </c>
    </row>
    <row r="23" ht="15.75" customHeight="1">
      <c r="A23" s="3">
        <v>41659.0</v>
      </c>
      <c r="B23" s="1">
        <v>2014.0</v>
      </c>
      <c r="C23" s="1">
        <v>1.0</v>
      </c>
      <c r="D23" s="1" t="s">
        <v>17</v>
      </c>
      <c r="E23" s="1">
        <v>83356.4245612027</v>
      </c>
      <c r="F23" s="1">
        <v>81789.13612235275</v>
      </c>
      <c r="G23" s="1">
        <v>2443.0</v>
      </c>
      <c r="H23" s="1">
        <v>34.12</v>
      </c>
      <c r="I23" s="1">
        <v>33.48</v>
      </c>
      <c r="J23" s="1">
        <v>0.64</v>
      </c>
      <c r="K23" s="1">
        <v>1.88</v>
      </c>
      <c r="L23" s="1">
        <f t="shared" si="1"/>
        <v>1567.288439</v>
      </c>
      <c r="M23" s="1" t="str">
        <f t="shared" si="2"/>
        <v>Regular</v>
      </c>
      <c r="N23" s="1">
        <f t="shared" si="3"/>
        <v>34.12051763</v>
      </c>
      <c r="O23" s="1">
        <f t="shared" si="4"/>
        <v>36.82000109</v>
      </c>
      <c r="P23" s="4">
        <f t="shared" si="5"/>
        <v>-0.03870624719</v>
      </c>
    </row>
    <row r="24" ht="15.75" customHeight="1">
      <c r="A24" s="3">
        <v>41660.0</v>
      </c>
      <c r="B24" s="1">
        <v>2014.0</v>
      </c>
      <c r="C24" s="1">
        <v>1.0</v>
      </c>
      <c r="D24" s="1" t="s">
        <v>17</v>
      </c>
      <c r="E24" s="1">
        <v>89922.01428617258</v>
      </c>
      <c r="F24" s="1">
        <v>88388.91606915972</v>
      </c>
      <c r="G24" s="1">
        <v>2638.0</v>
      </c>
      <c r="H24" s="1">
        <v>34.09</v>
      </c>
      <c r="I24" s="1">
        <v>33.51</v>
      </c>
      <c r="J24" s="1">
        <v>0.58</v>
      </c>
      <c r="K24" s="1">
        <v>1.7</v>
      </c>
      <c r="L24" s="1">
        <f t="shared" si="1"/>
        <v>1533.098217</v>
      </c>
      <c r="M24" s="1" t="str">
        <f t="shared" si="2"/>
        <v>Regular</v>
      </c>
      <c r="N24" s="1">
        <f t="shared" si="3"/>
        <v>34.08719268</v>
      </c>
      <c r="O24" s="1">
        <f t="shared" si="4"/>
        <v>36.82157926</v>
      </c>
      <c r="P24" s="4">
        <f t="shared" si="5"/>
        <v>-0.03873239417</v>
      </c>
    </row>
    <row r="25" ht="15.75" customHeight="1">
      <c r="A25" s="3">
        <v>41661.0</v>
      </c>
      <c r="B25" s="1">
        <v>2014.0</v>
      </c>
      <c r="C25" s="1">
        <v>1.0</v>
      </c>
      <c r="D25" s="1" t="s">
        <v>17</v>
      </c>
      <c r="E25" s="1">
        <v>57806.30278009904</v>
      </c>
      <c r="F25" s="1">
        <v>57157.2825440923</v>
      </c>
      <c r="G25" s="1">
        <v>1704.0</v>
      </c>
      <c r="H25" s="1">
        <v>33.92</v>
      </c>
      <c r="I25" s="1">
        <v>33.54</v>
      </c>
      <c r="J25" s="1">
        <v>0.38</v>
      </c>
      <c r="K25" s="1">
        <v>1.12</v>
      </c>
      <c r="L25" s="1">
        <f t="shared" si="1"/>
        <v>649.020236</v>
      </c>
      <c r="M25" s="1" t="str">
        <f t="shared" si="2"/>
        <v>Regular</v>
      </c>
      <c r="N25" s="1">
        <f t="shared" si="3"/>
        <v>33.92388661</v>
      </c>
      <c r="O25" s="1">
        <f t="shared" si="4"/>
        <v>36.82327126</v>
      </c>
      <c r="P25" s="4">
        <f t="shared" si="5"/>
        <v>-0.03875976705</v>
      </c>
    </row>
    <row r="26" ht="15.75" customHeight="1">
      <c r="A26" s="3">
        <v>41662.0</v>
      </c>
      <c r="B26" s="1">
        <v>2014.0</v>
      </c>
      <c r="C26" s="1">
        <v>1.0</v>
      </c>
      <c r="D26" s="1" t="s">
        <v>17</v>
      </c>
      <c r="E26" s="1">
        <v>63977.75034892355</v>
      </c>
      <c r="F26" s="1">
        <v>62863.98723906299</v>
      </c>
      <c r="G26" s="1">
        <v>1872.0</v>
      </c>
      <c r="H26" s="1">
        <v>34.18</v>
      </c>
      <c r="I26" s="1">
        <v>33.58</v>
      </c>
      <c r="J26" s="1">
        <v>0.59</v>
      </c>
      <c r="K26" s="1">
        <v>1.74</v>
      </c>
      <c r="L26" s="1">
        <f t="shared" si="1"/>
        <v>1113.76311</v>
      </c>
      <c r="M26" s="1" t="str">
        <f t="shared" si="2"/>
        <v>Regular</v>
      </c>
      <c r="N26" s="1">
        <f t="shared" si="3"/>
        <v>34.17614869</v>
      </c>
      <c r="O26" s="1">
        <f t="shared" si="4"/>
        <v>36.82435292</v>
      </c>
      <c r="P26" s="4">
        <f t="shared" si="5"/>
        <v>-0.03877554081</v>
      </c>
    </row>
    <row r="27" ht="15.75" customHeight="1">
      <c r="A27" s="3">
        <v>41663.0</v>
      </c>
      <c r="B27" s="1">
        <v>2014.0</v>
      </c>
      <c r="C27" s="1">
        <v>1.0</v>
      </c>
      <c r="D27" s="1" t="s">
        <v>17</v>
      </c>
      <c r="E27" s="1">
        <v>116958.79984795197</v>
      </c>
      <c r="F27" s="1">
        <v>114823.79522381267</v>
      </c>
      <c r="G27" s="1">
        <v>3423.0</v>
      </c>
      <c r="H27" s="1">
        <v>34.17</v>
      </c>
      <c r="I27" s="1">
        <v>33.54</v>
      </c>
      <c r="J27" s="1">
        <v>0.62</v>
      </c>
      <c r="K27" s="1">
        <v>1.83</v>
      </c>
      <c r="L27" s="1">
        <f t="shared" si="1"/>
        <v>2135.004624</v>
      </c>
      <c r="M27" s="1" t="str">
        <f t="shared" si="2"/>
        <v>Regular</v>
      </c>
      <c r="N27" s="1">
        <f t="shared" si="3"/>
        <v>34.16850711</v>
      </c>
      <c r="O27" s="1">
        <f t="shared" si="4"/>
        <v>36.82552821</v>
      </c>
      <c r="P27" s="4">
        <f t="shared" si="5"/>
        <v>-0.03879516967</v>
      </c>
    </row>
    <row r="28" ht="15.75" customHeight="1">
      <c r="A28" s="3">
        <v>41664.0</v>
      </c>
      <c r="B28" s="1">
        <v>2014.0</v>
      </c>
      <c r="C28" s="1">
        <v>1.0</v>
      </c>
      <c r="D28" s="1" t="s">
        <v>17</v>
      </c>
      <c r="E28" s="1">
        <v>155272.82480548017</v>
      </c>
      <c r="F28" s="1">
        <v>152636.27656236594</v>
      </c>
      <c r="G28" s="1">
        <v>4544.0</v>
      </c>
      <c r="H28" s="1">
        <v>34.17</v>
      </c>
      <c r="I28" s="1">
        <v>33.59</v>
      </c>
      <c r="J28" s="1">
        <v>0.58</v>
      </c>
      <c r="K28" s="1">
        <v>1.7</v>
      </c>
      <c r="L28" s="1">
        <f t="shared" si="1"/>
        <v>2636.548243</v>
      </c>
      <c r="M28" s="1" t="str">
        <f t="shared" si="2"/>
        <v>Regular</v>
      </c>
      <c r="N28" s="1">
        <f t="shared" si="3"/>
        <v>34.17095616</v>
      </c>
      <c r="O28" s="1">
        <f t="shared" si="4"/>
        <v>36.82770361</v>
      </c>
      <c r="P28" s="4">
        <f t="shared" si="5"/>
        <v>-0.03883162948</v>
      </c>
    </row>
    <row r="29" ht="15.75" customHeight="1">
      <c r="A29" s="3">
        <v>41665.0</v>
      </c>
      <c r="B29" s="1">
        <v>2014.0</v>
      </c>
      <c r="C29" s="1">
        <v>1.0</v>
      </c>
      <c r="D29" s="1" t="s">
        <v>17</v>
      </c>
      <c r="E29" s="1">
        <v>82885.21590976272</v>
      </c>
      <c r="F29" s="1">
        <v>81583.16694985318</v>
      </c>
      <c r="G29" s="1">
        <v>2426.0</v>
      </c>
      <c r="H29" s="1">
        <v>34.17</v>
      </c>
      <c r="I29" s="1">
        <v>33.63</v>
      </c>
      <c r="J29" s="1">
        <v>0.54</v>
      </c>
      <c r="K29" s="1">
        <v>1.57</v>
      </c>
      <c r="L29" s="1">
        <f t="shared" si="1"/>
        <v>1302.04896</v>
      </c>
      <c r="M29" s="1" t="str">
        <f t="shared" si="2"/>
        <v>Regular</v>
      </c>
      <c r="N29" s="1">
        <f t="shared" si="3"/>
        <v>34.16538166</v>
      </c>
      <c r="O29" s="1">
        <f t="shared" si="4"/>
        <v>36.83055541</v>
      </c>
      <c r="P29" s="4">
        <f t="shared" si="5"/>
        <v>-0.03887902304</v>
      </c>
    </row>
    <row r="30" ht="15.75" customHeight="1">
      <c r="A30" s="3">
        <v>41666.0</v>
      </c>
      <c r="B30" s="1">
        <v>2014.0</v>
      </c>
      <c r="C30" s="1">
        <v>1.0</v>
      </c>
      <c r="D30" s="1" t="s">
        <v>17</v>
      </c>
      <c r="E30" s="1">
        <v>72353.4258824533</v>
      </c>
      <c r="F30" s="1">
        <v>71377.15645543634</v>
      </c>
      <c r="G30" s="1">
        <v>2117.0</v>
      </c>
      <c r="H30" s="1">
        <v>34.18</v>
      </c>
      <c r="I30" s="1">
        <v>33.72</v>
      </c>
      <c r="J30" s="1">
        <v>0.46</v>
      </c>
      <c r="K30" s="1">
        <v>1.35</v>
      </c>
      <c r="L30" s="1">
        <f t="shared" si="1"/>
        <v>976.269427</v>
      </c>
      <c r="M30" s="1" t="str">
        <f t="shared" si="2"/>
        <v>Regular</v>
      </c>
      <c r="N30" s="1">
        <f t="shared" si="3"/>
        <v>34.17733863</v>
      </c>
      <c r="O30" s="1">
        <f t="shared" si="4"/>
        <v>36.83206216</v>
      </c>
      <c r="P30" s="4">
        <f t="shared" si="5"/>
        <v>-0.03890377845</v>
      </c>
    </row>
    <row r="31" ht="15.75" customHeight="1">
      <c r="A31" s="3">
        <v>41667.0</v>
      </c>
      <c r="B31" s="1">
        <v>2014.0</v>
      </c>
      <c r="C31" s="1">
        <v>1.0</v>
      </c>
      <c r="D31" s="1" t="s">
        <v>17</v>
      </c>
      <c r="E31" s="1">
        <v>50415.903762389156</v>
      </c>
      <c r="F31" s="1">
        <v>49769.09824300322</v>
      </c>
      <c r="G31" s="1">
        <v>1476.0</v>
      </c>
      <c r="H31" s="1">
        <v>34.16</v>
      </c>
      <c r="I31" s="1">
        <v>33.72</v>
      </c>
      <c r="J31" s="1">
        <v>0.44</v>
      </c>
      <c r="K31" s="1">
        <v>1.28</v>
      </c>
      <c r="L31" s="1">
        <f t="shared" si="1"/>
        <v>646.8055194</v>
      </c>
      <c r="M31" s="1" t="str">
        <f t="shared" si="2"/>
        <v>Regular</v>
      </c>
      <c r="N31" s="1">
        <f t="shared" si="3"/>
        <v>34.15711637</v>
      </c>
      <c r="O31" s="1">
        <f t="shared" si="4"/>
        <v>36.83334221</v>
      </c>
      <c r="P31" s="4">
        <f t="shared" si="5"/>
        <v>-0.03892452909</v>
      </c>
    </row>
    <row r="32" ht="15.75" customHeight="1">
      <c r="A32" s="3">
        <v>41668.0</v>
      </c>
      <c r="B32" s="1">
        <v>2014.0</v>
      </c>
      <c r="C32" s="1">
        <v>1.0</v>
      </c>
      <c r="D32" s="1" t="s">
        <v>17</v>
      </c>
      <c r="E32" s="1">
        <v>67458.30189127379</v>
      </c>
      <c r="F32" s="1">
        <v>66529.44199653144</v>
      </c>
      <c r="G32" s="1">
        <v>1974.0</v>
      </c>
      <c r="H32" s="1">
        <v>34.17</v>
      </c>
      <c r="I32" s="1">
        <v>33.7</v>
      </c>
      <c r="J32" s="1">
        <v>0.47</v>
      </c>
      <c r="K32" s="1">
        <v>1.38</v>
      </c>
      <c r="L32" s="1">
        <f t="shared" si="1"/>
        <v>928.8598947</v>
      </c>
      <c r="M32" s="1" t="str">
        <f t="shared" si="2"/>
        <v>Regular</v>
      </c>
      <c r="N32" s="1">
        <f t="shared" si="3"/>
        <v>34.17340521</v>
      </c>
      <c r="O32" s="1">
        <f t="shared" si="4"/>
        <v>36.83423452</v>
      </c>
      <c r="P32" s="4">
        <f t="shared" si="5"/>
        <v>-0.03893881467</v>
      </c>
    </row>
    <row r="33" ht="15.75" customHeight="1">
      <c r="A33" s="3">
        <v>41669.0</v>
      </c>
      <c r="B33" s="1">
        <v>2014.0</v>
      </c>
      <c r="C33" s="1">
        <v>1.0</v>
      </c>
      <c r="D33" s="1" t="s">
        <v>17</v>
      </c>
      <c r="E33" s="1">
        <v>64640.3693131938</v>
      </c>
      <c r="F33" s="1">
        <v>63757.83986845208</v>
      </c>
      <c r="G33" s="1">
        <v>1892.0</v>
      </c>
      <c r="H33" s="1">
        <v>34.17</v>
      </c>
      <c r="I33" s="1">
        <v>33.7</v>
      </c>
      <c r="J33" s="1">
        <v>0.47</v>
      </c>
      <c r="K33" s="1">
        <v>1.37</v>
      </c>
      <c r="L33" s="1">
        <f t="shared" si="1"/>
        <v>882.5294447</v>
      </c>
      <c r="M33" s="1" t="str">
        <f t="shared" si="2"/>
        <v>Regular</v>
      </c>
      <c r="N33" s="1">
        <f t="shared" si="3"/>
        <v>34.16510006</v>
      </c>
      <c r="O33" s="1">
        <f t="shared" si="4"/>
        <v>36.83543484</v>
      </c>
      <c r="P33" s="4">
        <f t="shared" si="5"/>
        <v>-0.03895828894</v>
      </c>
    </row>
    <row r="34" ht="15.75" customHeight="1">
      <c r="A34" s="3">
        <v>41670.0</v>
      </c>
      <c r="B34" s="1">
        <v>2014.0</v>
      </c>
      <c r="C34" s="1">
        <v>1.0</v>
      </c>
      <c r="D34" s="1" t="s">
        <v>17</v>
      </c>
      <c r="E34" s="1">
        <v>137693.8735003314</v>
      </c>
      <c r="F34" s="1">
        <v>135609.50758204967</v>
      </c>
      <c r="G34" s="1">
        <v>4030.0</v>
      </c>
      <c r="H34" s="1">
        <v>34.17</v>
      </c>
      <c r="I34" s="1">
        <v>33.65</v>
      </c>
      <c r="J34" s="1">
        <v>0.52</v>
      </c>
      <c r="K34" s="1">
        <v>1.51</v>
      </c>
      <c r="L34" s="1">
        <f t="shared" si="1"/>
        <v>2084.365918</v>
      </c>
      <c r="M34" s="1" t="str">
        <f t="shared" si="2"/>
        <v>Regular</v>
      </c>
      <c r="N34" s="1">
        <f t="shared" si="3"/>
        <v>34.16721427</v>
      </c>
      <c r="O34" s="1">
        <f t="shared" si="4"/>
        <v>36.83658771</v>
      </c>
      <c r="P34" s="4">
        <f t="shared" si="5"/>
        <v>-0.03897692196</v>
      </c>
    </row>
    <row r="35" ht="15.75" customHeight="1">
      <c r="A35" s="3">
        <v>41671.0</v>
      </c>
      <c r="B35" s="1">
        <v>2014.0</v>
      </c>
      <c r="C35" s="1">
        <v>2.0</v>
      </c>
      <c r="D35" s="1" t="s">
        <v>18</v>
      </c>
      <c r="E35" s="1">
        <v>181209.1284812126</v>
      </c>
      <c r="F35" s="1">
        <v>178435.71534579594</v>
      </c>
      <c r="G35" s="1">
        <v>5304.0</v>
      </c>
      <c r="H35" s="1">
        <v>34.16</v>
      </c>
      <c r="I35" s="1">
        <v>33.64</v>
      </c>
      <c r="J35" s="1">
        <v>0.52</v>
      </c>
      <c r="K35" s="1">
        <v>1.53</v>
      </c>
      <c r="L35" s="1">
        <f t="shared" si="1"/>
        <v>2773.413135</v>
      </c>
      <c r="M35" s="1" t="str">
        <f t="shared" si="2"/>
        <v>Regular</v>
      </c>
      <c r="N35" s="1">
        <f t="shared" si="3"/>
        <v>34.16461698</v>
      </c>
      <c r="O35" s="1">
        <f t="shared" si="4"/>
        <v>36.83908429</v>
      </c>
      <c r="P35" s="4">
        <f t="shared" si="5"/>
        <v>-0.03901777818</v>
      </c>
    </row>
    <row r="36" ht="15.75" customHeight="1">
      <c r="A36" s="3">
        <v>41672.0</v>
      </c>
      <c r="B36" s="1">
        <v>2014.0</v>
      </c>
      <c r="C36" s="1">
        <v>2.0</v>
      </c>
      <c r="D36" s="1" t="s">
        <v>18</v>
      </c>
      <c r="E36" s="1">
        <v>113433.58104545697</v>
      </c>
      <c r="F36" s="1">
        <v>111466.51684753725</v>
      </c>
      <c r="G36" s="1">
        <v>3320.0</v>
      </c>
      <c r="H36" s="1">
        <v>34.17</v>
      </c>
      <c r="I36" s="1">
        <v>33.57</v>
      </c>
      <c r="J36" s="1">
        <v>0.59</v>
      </c>
      <c r="K36" s="1">
        <v>1.73</v>
      </c>
      <c r="L36" s="1">
        <f t="shared" si="1"/>
        <v>1967.064198</v>
      </c>
      <c r="M36" s="1" t="str">
        <f t="shared" si="2"/>
        <v>Regular</v>
      </c>
      <c r="N36" s="1">
        <f t="shared" si="3"/>
        <v>34.16674128</v>
      </c>
      <c r="O36" s="1">
        <f t="shared" si="4"/>
        <v>36.84238463</v>
      </c>
      <c r="P36" s="4">
        <f t="shared" si="5"/>
        <v>-0.03907180671</v>
      </c>
    </row>
    <row r="37" ht="15.75" customHeight="1">
      <c r="A37" s="3">
        <v>41673.0</v>
      </c>
      <c r="B37" s="1">
        <v>2014.0</v>
      </c>
      <c r="C37" s="1">
        <v>2.0</v>
      </c>
      <c r="D37" s="1" t="s">
        <v>18</v>
      </c>
      <c r="E37" s="1">
        <v>143192.53335617637</v>
      </c>
      <c r="F37" s="1">
        <v>140505.63472300323</v>
      </c>
      <c r="G37" s="1">
        <v>4191.0</v>
      </c>
      <c r="H37" s="1">
        <v>34.17</v>
      </c>
      <c r="I37" s="1">
        <v>33.53</v>
      </c>
      <c r="J37" s="1">
        <v>0.64</v>
      </c>
      <c r="K37" s="1">
        <v>1.88</v>
      </c>
      <c r="L37" s="1">
        <f t="shared" si="1"/>
        <v>2686.898633</v>
      </c>
      <c r="M37" s="1" t="str">
        <f t="shared" si="2"/>
        <v>Regular</v>
      </c>
      <c r="N37" s="1">
        <f t="shared" si="3"/>
        <v>34.16667463</v>
      </c>
      <c r="O37" s="1">
        <f t="shared" si="4"/>
        <v>36.84449754</v>
      </c>
      <c r="P37" s="4">
        <f t="shared" si="5"/>
        <v>-0.03910695074</v>
      </c>
    </row>
    <row r="38" ht="15.75" customHeight="1">
      <c r="A38" s="3">
        <v>41674.0</v>
      </c>
      <c r="B38" s="1">
        <v>2014.0</v>
      </c>
      <c r="C38" s="1">
        <v>2.0</v>
      </c>
      <c r="D38" s="1" t="s">
        <v>18</v>
      </c>
      <c r="E38" s="1">
        <v>130126.64989288137</v>
      </c>
      <c r="F38" s="1">
        <v>128496.2877011727</v>
      </c>
      <c r="G38" s="1">
        <v>3809.0</v>
      </c>
      <c r="H38" s="1">
        <v>34.16</v>
      </c>
      <c r="I38" s="1">
        <v>33.73</v>
      </c>
      <c r="J38" s="1">
        <v>0.43</v>
      </c>
      <c r="K38" s="1">
        <v>1.25</v>
      </c>
      <c r="L38" s="1">
        <f t="shared" si="1"/>
        <v>1630.362192</v>
      </c>
      <c r="M38" s="1" t="str">
        <f t="shared" si="2"/>
        <v>Regular</v>
      </c>
      <c r="N38" s="1">
        <f t="shared" si="3"/>
        <v>34.162943</v>
      </c>
      <c r="O38" s="1">
        <f t="shared" si="4"/>
        <v>36.84720845</v>
      </c>
      <c r="P38" s="4">
        <f t="shared" si="5"/>
        <v>-0.03915249731</v>
      </c>
    </row>
    <row r="39" ht="15.75" customHeight="1">
      <c r="A39" s="3">
        <v>41675.0</v>
      </c>
      <c r="B39" s="1">
        <v>2014.0</v>
      </c>
      <c r="C39" s="1">
        <v>2.0</v>
      </c>
      <c r="D39" s="1" t="s">
        <v>18</v>
      </c>
      <c r="E39" s="1">
        <v>187155.86854573974</v>
      </c>
      <c r="F39" s="1">
        <v>195078.60333094277</v>
      </c>
      <c r="G39" s="1">
        <v>5764.0</v>
      </c>
      <c r="H39" s="1">
        <v>32.47</v>
      </c>
      <c r="I39" s="1">
        <v>33.84</v>
      </c>
      <c r="J39" s="1">
        <v>-1.37</v>
      </c>
      <c r="K39" s="1">
        <v>-4.23</v>
      </c>
      <c r="L39" s="1">
        <f t="shared" si="1"/>
        <v>-7922.734785</v>
      </c>
      <c r="M39" s="1" t="str">
        <f t="shared" si="2"/>
        <v>ON SALE</v>
      </c>
      <c r="N39" s="1">
        <f t="shared" si="3"/>
        <v>32.46978982</v>
      </c>
      <c r="O39" s="1">
        <f t="shared" si="4"/>
        <v>36.84952058</v>
      </c>
      <c r="P39" s="4">
        <f t="shared" si="5"/>
        <v>-0.03918948739</v>
      </c>
    </row>
    <row r="40" ht="15.75" customHeight="1">
      <c r="A40" s="3">
        <v>41676.0</v>
      </c>
      <c r="B40" s="1">
        <v>2014.0</v>
      </c>
      <c r="C40" s="1">
        <v>2.0</v>
      </c>
      <c r="D40" s="1" t="s">
        <v>18</v>
      </c>
      <c r="E40" s="1">
        <v>102314.70959650404</v>
      </c>
      <c r="F40" s="1">
        <v>101977.98995528856</v>
      </c>
      <c r="G40" s="1">
        <v>3028.0</v>
      </c>
      <c r="H40" s="1">
        <v>33.79</v>
      </c>
      <c r="I40" s="1">
        <v>33.68</v>
      </c>
      <c r="J40" s="1">
        <v>0.11</v>
      </c>
      <c r="K40" s="1">
        <v>0.33</v>
      </c>
      <c r="L40" s="1">
        <f t="shared" si="1"/>
        <v>336.7196412</v>
      </c>
      <c r="M40" s="1" t="str">
        <f t="shared" si="2"/>
        <v>Regular</v>
      </c>
      <c r="N40" s="1">
        <f t="shared" si="3"/>
        <v>33.78953421</v>
      </c>
      <c r="O40" s="1">
        <f t="shared" si="4"/>
        <v>36.85290285</v>
      </c>
      <c r="P40" s="4">
        <f t="shared" si="5"/>
        <v>-0.03918624885</v>
      </c>
    </row>
    <row r="41" ht="15.75" customHeight="1">
      <c r="A41" s="3">
        <v>41677.0</v>
      </c>
      <c r="B41" s="1">
        <v>2014.0</v>
      </c>
      <c r="C41" s="1">
        <v>2.0</v>
      </c>
      <c r="D41" s="1" t="s">
        <v>18</v>
      </c>
      <c r="E41" s="1">
        <v>301553.8425550869</v>
      </c>
      <c r="F41" s="1">
        <v>313529.1877487157</v>
      </c>
      <c r="G41" s="1">
        <v>9284.0</v>
      </c>
      <c r="H41" s="1">
        <v>32.48</v>
      </c>
      <c r="I41" s="1">
        <v>33.77</v>
      </c>
      <c r="J41" s="1">
        <v>-1.29</v>
      </c>
      <c r="K41" s="1">
        <v>-3.97</v>
      </c>
      <c r="L41" s="1">
        <f t="shared" si="1"/>
        <v>-11975.34519</v>
      </c>
      <c r="M41" s="1" t="str">
        <f t="shared" si="2"/>
        <v>ON SALE</v>
      </c>
      <c r="N41" s="1">
        <f t="shared" si="3"/>
        <v>32.4810257</v>
      </c>
      <c r="O41" s="1">
        <f t="shared" si="4"/>
        <v>36.85478089</v>
      </c>
      <c r="P41" s="4">
        <f t="shared" si="5"/>
        <v>-0.03921019139</v>
      </c>
    </row>
    <row r="42" ht="15.75" customHeight="1">
      <c r="A42" s="3">
        <v>41678.0</v>
      </c>
      <c r="B42" s="1">
        <v>2014.0</v>
      </c>
      <c r="C42" s="1">
        <v>2.0</v>
      </c>
      <c r="D42" s="1" t="s">
        <v>18</v>
      </c>
      <c r="E42" s="1">
        <v>316073.1775493943</v>
      </c>
      <c r="F42" s="1">
        <v>329754.7794635822</v>
      </c>
      <c r="G42" s="1">
        <v>9737.0</v>
      </c>
      <c r="H42" s="1">
        <v>32.46</v>
      </c>
      <c r="I42" s="1">
        <v>33.87</v>
      </c>
      <c r="J42" s="1">
        <v>-1.41</v>
      </c>
      <c r="K42" s="1">
        <v>-4.33</v>
      </c>
      <c r="L42" s="1">
        <f t="shared" si="1"/>
        <v>-13681.60191</v>
      </c>
      <c r="M42" s="1" t="str">
        <f t="shared" si="2"/>
        <v>ON SALE</v>
      </c>
      <c r="N42" s="1">
        <f t="shared" si="3"/>
        <v>32.46104319</v>
      </c>
      <c r="O42" s="1">
        <f t="shared" si="4"/>
        <v>36.86038473</v>
      </c>
      <c r="P42" s="4">
        <f t="shared" si="5"/>
        <v>-0.03920935615</v>
      </c>
    </row>
    <row r="43" ht="15.75" customHeight="1">
      <c r="A43" s="3">
        <v>41679.0</v>
      </c>
      <c r="B43" s="1">
        <v>2014.0</v>
      </c>
      <c r="C43" s="1">
        <v>2.0</v>
      </c>
      <c r="D43" s="1" t="s">
        <v>18</v>
      </c>
      <c r="E43" s="1">
        <v>135178.0425545823</v>
      </c>
      <c r="F43" s="1">
        <v>141530.70868329128</v>
      </c>
      <c r="G43" s="1">
        <v>4163.0</v>
      </c>
      <c r="H43" s="1">
        <v>32.47</v>
      </c>
      <c r="I43" s="1">
        <v>34.0</v>
      </c>
      <c r="J43" s="1">
        <v>-1.53</v>
      </c>
      <c r="K43" s="1">
        <v>-4.7</v>
      </c>
      <c r="L43" s="1">
        <f t="shared" si="1"/>
        <v>-6352.666129</v>
      </c>
      <c r="M43" s="1" t="str">
        <f t="shared" si="2"/>
        <v>ON SALE</v>
      </c>
      <c r="N43" s="1">
        <f t="shared" si="3"/>
        <v>32.47130496</v>
      </c>
      <c r="O43" s="1">
        <f t="shared" si="4"/>
        <v>36.86610205</v>
      </c>
      <c r="P43" s="4">
        <f t="shared" si="5"/>
        <v>-0.0392022331</v>
      </c>
    </row>
    <row r="44" ht="15.75" customHeight="1">
      <c r="A44" s="3">
        <v>41680.0</v>
      </c>
      <c r="B44" s="1">
        <v>2014.0</v>
      </c>
      <c r="C44" s="1">
        <v>2.0</v>
      </c>
      <c r="D44" s="1" t="s">
        <v>18</v>
      </c>
      <c r="E44" s="1">
        <v>147727.5161863135</v>
      </c>
      <c r="F44" s="1">
        <v>154828.68457507665</v>
      </c>
      <c r="G44" s="1">
        <v>4552.0</v>
      </c>
      <c r="H44" s="1">
        <v>32.45</v>
      </c>
      <c r="I44" s="1">
        <v>34.01</v>
      </c>
      <c r="J44" s="1">
        <v>-1.56</v>
      </c>
      <c r="K44" s="1">
        <v>-4.81</v>
      </c>
      <c r="L44" s="1">
        <f t="shared" si="1"/>
        <v>-7101.168389</v>
      </c>
      <c r="M44" s="1" t="str">
        <f t="shared" si="2"/>
        <v>ON SALE</v>
      </c>
      <c r="N44" s="1">
        <f t="shared" si="3"/>
        <v>32.45332078</v>
      </c>
      <c r="O44" s="1">
        <f t="shared" si="4"/>
        <v>36.86844599</v>
      </c>
      <c r="P44" s="4">
        <f t="shared" si="5"/>
        <v>-0.0391964058</v>
      </c>
    </row>
    <row r="45" ht="15.75" customHeight="1">
      <c r="A45" s="3">
        <v>41681.0</v>
      </c>
      <c r="B45" s="1">
        <v>2014.0</v>
      </c>
      <c r="C45" s="1">
        <v>2.0</v>
      </c>
      <c r="D45" s="1" t="s">
        <v>18</v>
      </c>
      <c r="E45" s="1">
        <v>135498.74644438608</v>
      </c>
      <c r="F45" s="1">
        <v>139824.1616410127</v>
      </c>
      <c r="G45" s="1">
        <v>4172.0</v>
      </c>
      <c r="H45" s="1">
        <v>32.48</v>
      </c>
      <c r="I45" s="1">
        <v>33.51</v>
      </c>
      <c r="J45" s="1">
        <v>-1.04</v>
      </c>
      <c r="K45" s="1">
        <v>-3.19</v>
      </c>
      <c r="L45" s="1">
        <f t="shared" si="1"/>
        <v>-4325.415197</v>
      </c>
      <c r="M45" s="1" t="str">
        <f t="shared" si="2"/>
        <v>ON SALE</v>
      </c>
      <c r="N45" s="1">
        <f t="shared" si="3"/>
        <v>32.47812714</v>
      </c>
      <c r="O45" s="1">
        <f t="shared" si="4"/>
        <v>36.870999</v>
      </c>
      <c r="P45" s="4">
        <f t="shared" si="5"/>
        <v>-0.03918914865</v>
      </c>
    </row>
    <row r="46" ht="15.75" customHeight="1">
      <c r="A46" s="3">
        <v>41682.0</v>
      </c>
      <c r="B46" s="1">
        <v>2014.0</v>
      </c>
      <c r="C46" s="1">
        <v>2.0</v>
      </c>
      <c r="D46" s="1" t="s">
        <v>18</v>
      </c>
      <c r="E46" s="1">
        <v>163432.8452052823</v>
      </c>
      <c r="F46" s="1">
        <v>166893.3689190051</v>
      </c>
      <c r="G46" s="1">
        <v>5037.0</v>
      </c>
      <c r="H46" s="1">
        <v>32.45</v>
      </c>
      <c r="I46" s="1">
        <v>33.13</v>
      </c>
      <c r="J46" s="1">
        <v>-0.69</v>
      </c>
      <c r="K46" s="1">
        <v>-2.12</v>
      </c>
      <c r="L46" s="1">
        <f t="shared" si="1"/>
        <v>-3460.523714</v>
      </c>
      <c r="M46" s="1" t="str">
        <f t="shared" si="2"/>
        <v>ON SALE</v>
      </c>
      <c r="N46" s="1">
        <f t="shared" si="3"/>
        <v>32.4464652</v>
      </c>
      <c r="O46" s="1">
        <f t="shared" si="4"/>
        <v>36.87375171</v>
      </c>
      <c r="P46" s="4">
        <f t="shared" si="5"/>
        <v>-0.03919460435</v>
      </c>
    </row>
    <row r="47" ht="15.75" customHeight="1">
      <c r="A47" s="3">
        <v>41683.0</v>
      </c>
      <c r="B47" s="1">
        <v>2014.0</v>
      </c>
      <c r="C47" s="1">
        <v>2.0</v>
      </c>
      <c r="D47" s="1" t="s">
        <v>18</v>
      </c>
      <c r="E47" s="1">
        <v>138291.63332158606</v>
      </c>
      <c r="F47" s="1">
        <v>141027.43445568127</v>
      </c>
      <c r="G47" s="1">
        <v>4259.0</v>
      </c>
      <c r="H47" s="1">
        <v>32.47</v>
      </c>
      <c r="I47" s="1">
        <v>33.11</v>
      </c>
      <c r="J47" s="1">
        <v>-0.64</v>
      </c>
      <c r="K47" s="1">
        <v>-1.98</v>
      </c>
      <c r="L47" s="1">
        <f t="shared" si="1"/>
        <v>-2735.801134</v>
      </c>
      <c r="M47" s="1" t="str">
        <f t="shared" si="2"/>
        <v>ON SALE</v>
      </c>
      <c r="N47" s="1">
        <f t="shared" si="3"/>
        <v>32.47044689</v>
      </c>
      <c r="O47" s="1">
        <f t="shared" si="4"/>
        <v>36.87745926</v>
      </c>
      <c r="P47" s="4">
        <f t="shared" si="5"/>
        <v>-0.03921093728</v>
      </c>
    </row>
    <row r="48" ht="15.75" customHeight="1">
      <c r="A48" s="3">
        <v>41684.0</v>
      </c>
      <c r="B48" s="1">
        <v>2014.0</v>
      </c>
      <c r="C48" s="1">
        <v>2.0</v>
      </c>
      <c r="D48" s="1" t="s">
        <v>18</v>
      </c>
      <c r="E48" s="1">
        <v>336901.37170009944</v>
      </c>
      <c r="F48" s="1">
        <v>343519.87554694666</v>
      </c>
      <c r="G48" s="1">
        <v>10381.0</v>
      </c>
      <c r="H48" s="1">
        <v>32.45</v>
      </c>
      <c r="I48" s="1">
        <v>33.09</v>
      </c>
      <c r="J48" s="1">
        <v>-0.64</v>
      </c>
      <c r="K48" s="1">
        <v>-1.96</v>
      </c>
      <c r="L48" s="1">
        <f t="shared" si="1"/>
        <v>-6618.503847</v>
      </c>
      <c r="M48" s="1" t="str">
        <f t="shared" si="2"/>
        <v>ON SALE</v>
      </c>
      <c r="N48" s="1">
        <f t="shared" si="3"/>
        <v>32.45365299</v>
      </c>
      <c r="O48" s="1">
        <f t="shared" si="4"/>
        <v>36.88061724</v>
      </c>
      <c r="P48" s="4">
        <f t="shared" si="5"/>
        <v>-0.03922584854</v>
      </c>
    </row>
    <row r="49" ht="15.75" customHeight="1">
      <c r="A49" s="3">
        <v>41685.0</v>
      </c>
      <c r="B49" s="1">
        <v>2014.0</v>
      </c>
      <c r="C49" s="1">
        <v>2.0</v>
      </c>
      <c r="D49" s="1" t="s">
        <v>18</v>
      </c>
      <c r="E49" s="1">
        <v>367729.26821441203</v>
      </c>
      <c r="F49" s="1">
        <v>373973.5933348522</v>
      </c>
      <c r="G49" s="1">
        <v>11332.0</v>
      </c>
      <c r="H49" s="1">
        <v>32.45</v>
      </c>
      <c r="I49" s="1">
        <v>33.0</v>
      </c>
      <c r="J49" s="1">
        <v>-0.55</v>
      </c>
      <c r="K49" s="1">
        <v>-1.7</v>
      </c>
      <c r="L49" s="1">
        <f t="shared" si="1"/>
        <v>-6244.32512</v>
      </c>
      <c r="M49" s="1" t="str">
        <f t="shared" si="2"/>
        <v>ON SALE</v>
      </c>
      <c r="N49" s="1">
        <f t="shared" si="3"/>
        <v>32.45051784</v>
      </c>
      <c r="O49" s="1">
        <f t="shared" si="4"/>
        <v>36.88838106</v>
      </c>
      <c r="P49" s="4">
        <f t="shared" si="5"/>
        <v>-0.03926252862</v>
      </c>
    </row>
    <row r="50" ht="15.75" customHeight="1">
      <c r="A50" s="3">
        <v>41686.0</v>
      </c>
      <c r="B50" s="1">
        <v>2014.0</v>
      </c>
      <c r="C50" s="1">
        <v>2.0</v>
      </c>
      <c r="D50" s="1" t="s">
        <v>18</v>
      </c>
      <c r="E50" s="1">
        <v>133913.8413873911</v>
      </c>
      <c r="F50" s="1">
        <v>136797.07737015275</v>
      </c>
      <c r="G50" s="1">
        <v>4127.0</v>
      </c>
      <c r="H50" s="1">
        <v>32.45</v>
      </c>
      <c r="I50" s="1">
        <v>33.15</v>
      </c>
      <c r="J50" s="1">
        <v>-0.7</v>
      </c>
      <c r="K50" s="1">
        <v>-2.15</v>
      </c>
      <c r="L50" s="1">
        <f t="shared" si="1"/>
        <v>-2883.235983</v>
      </c>
      <c r="M50" s="1" t="str">
        <f t="shared" si="2"/>
        <v>ON SALE</v>
      </c>
      <c r="N50" s="1">
        <f t="shared" si="3"/>
        <v>32.44822907</v>
      </c>
      <c r="O50" s="1">
        <f t="shared" si="4"/>
        <v>36.89709349</v>
      </c>
      <c r="P50" s="4">
        <f t="shared" si="5"/>
        <v>-0.03930818144</v>
      </c>
    </row>
    <row r="51" ht="15.75" customHeight="1">
      <c r="A51" s="3">
        <v>41687.0</v>
      </c>
      <c r="B51" s="1">
        <v>2014.0</v>
      </c>
      <c r="C51" s="1">
        <v>2.0</v>
      </c>
      <c r="D51" s="1" t="s">
        <v>18</v>
      </c>
      <c r="E51" s="1">
        <v>150800.3470166623</v>
      </c>
      <c r="F51" s="1">
        <v>152887.1063994804</v>
      </c>
      <c r="G51" s="1">
        <v>4649.0</v>
      </c>
      <c r="H51" s="1">
        <v>32.44</v>
      </c>
      <c r="I51" s="1">
        <v>32.89</v>
      </c>
      <c r="J51" s="1">
        <v>-0.45</v>
      </c>
      <c r="K51" s="1">
        <v>-1.38</v>
      </c>
      <c r="L51" s="1">
        <f t="shared" si="1"/>
        <v>-2086.759383</v>
      </c>
      <c r="M51" s="1" t="str">
        <f t="shared" si="2"/>
        <v>ON SALE</v>
      </c>
      <c r="N51" s="1">
        <f t="shared" si="3"/>
        <v>32.43715789</v>
      </c>
      <c r="O51" s="1">
        <f t="shared" si="4"/>
        <v>36.90015747</v>
      </c>
      <c r="P51" s="4">
        <f t="shared" si="5"/>
        <v>-0.03932145581</v>
      </c>
    </row>
    <row r="52" ht="15.75" customHeight="1">
      <c r="A52" s="3">
        <v>41688.0</v>
      </c>
      <c r="B52" s="1">
        <v>2014.0</v>
      </c>
      <c r="C52" s="1">
        <v>2.0</v>
      </c>
      <c r="D52" s="1" t="s">
        <v>18</v>
      </c>
      <c r="E52" s="1">
        <v>55591.93033577391</v>
      </c>
      <c r="F52" s="1">
        <v>53463.2442119933</v>
      </c>
      <c r="G52" s="1">
        <v>1627.0</v>
      </c>
      <c r="H52" s="1">
        <v>34.17</v>
      </c>
      <c r="I52" s="1">
        <v>32.86</v>
      </c>
      <c r="J52" s="1">
        <v>1.31</v>
      </c>
      <c r="K52" s="1">
        <v>3.83</v>
      </c>
      <c r="L52" s="1">
        <f t="shared" si="1"/>
        <v>2128.686124</v>
      </c>
      <c r="M52" s="1" t="str">
        <f t="shared" si="2"/>
        <v>Regular</v>
      </c>
      <c r="N52" s="1">
        <f t="shared" si="3"/>
        <v>34.1683653</v>
      </c>
      <c r="O52" s="1">
        <f t="shared" si="4"/>
        <v>36.90385528</v>
      </c>
      <c r="P52" s="4">
        <f t="shared" si="5"/>
        <v>-0.03934290159</v>
      </c>
    </row>
    <row r="53" ht="15.75" customHeight="1">
      <c r="A53" s="3">
        <v>41689.0</v>
      </c>
      <c r="B53" s="1">
        <v>2014.0</v>
      </c>
      <c r="C53" s="1">
        <v>2.0</v>
      </c>
      <c r="D53" s="1" t="s">
        <v>18</v>
      </c>
      <c r="E53" s="1">
        <v>106427.191838824</v>
      </c>
      <c r="F53" s="1">
        <v>107736.44407595859</v>
      </c>
      <c r="G53" s="1">
        <v>3281.0</v>
      </c>
      <c r="H53" s="1">
        <v>32.44</v>
      </c>
      <c r="I53" s="1">
        <v>32.84</v>
      </c>
      <c r="J53" s="1">
        <v>-0.4</v>
      </c>
      <c r="K53" s="1">
        <v>-1.23</v>
      </c>
      <c r="L53" s="1">
        <f t="shared" si="1"/>
        <v>-1309.252237</v>
      </c>
      <c r="M53" s="1" t="str">
        <f t="shared" si="2"/>
        <v>ON SALE</v>
      </c>
      <c r="N53" s="1">
        <f t="shared" si="3"/>
        <v>32.43742513</v>
      </c>
      <c r="O53" s="1">
        <f t="shared" si="4"/>
        <v>36.90515939</v>
      </c>
      <c r="P53" s="4">
        <f t="shared" si="5"/>
        <v>-0.03936699392</v>
      </c>
    </row>
    <row r="54" ht="15.75" customHeight="1">
      <c r="A54" s="3">
        <v>41690.0</v>
      </c>
      <c r="B54" s="1">
        <v>2014.0</v>
      </c>
      <c r="C54" s="1">
        <v>2.0</v>
      </c>
      <c r="D54" s="1" t="s">
        <v>18</v>
      </c>
      <c r="E54" s="1">
        <v>78940.55442479794</v>
      </c>
      <c r="F54" s="1">
        <v>75934.39482203958</v>
      </c>
      <c r="G54" s="1">
        <v>2310.0</v>
      </c>
      <c r="H54" s="1">
        <v>34.17</v>
      </c>
      <c r="I54" s="1">
        <v>32.87</v>
      </c>
      <c r="J54" s="1">
        <v>1.3</v>
      </c>
      <c r="K54" s="1">
        <v>3.81</v>
      </c>
      <c r="L54" s="1">
        <f t="shared" si="1"/>
        <v>3006.159603</v>
      </c>
      <c r="M54" s="1" t="str">
        <f t="shared" si="2"/>
        <v>Regular</v>
      </c>
      <c r="N54" s="1">
        <f t="shared" si="3"/>
        <v>34.17340018</v>
      </c>
      <c r="O54" s="1">
        <f t="shared" si="4"/>
        <v>36.90780713</v>
      </c>
      <c r="P54" s="4">
        <f t="shared" si="5"/>
        <v>-0.03938308314</v>
      </c>
    </row>
    <row r="55" ht="15.75" customHeight="1">
      <c r="A55" s="3">
        <v>41691.0</v>
      </c>
      <c r="B55" s="1">
        <v>2014.0</v>
      </c>
      <c r="C55" s="1">
        <v>2.0</v>
      </c>
      <c r="D55" s="1" t="s">
        <v>18</v>
      </c>
      <c r="E55" s="1">
        <v>317916.3178585343</v>
      </c>
      <c r="F55" s="1">
        <v>322089.78895544185</v>
      </c>
      <c r="G55" s="1">
        <v>9802.0</v>
      </c>
      <c r="H55" s="1">
        <v>32.43</v>
      </c>
      <c r="I55" s="1">
        <v>32.86</v>
      </c>
      <c r="J55" s="1">
        <v>-0.43</v>
      </c>
      <c r="K55" s="1">
        <v>-1.31</v>
      </c>
      <c r="L55" s="1">
        <f t="shared" si="1"/>
        <v>-4173.471097</v>
      </c>
      <c r="M55" s="1" t="str">
        <f t="shared" si="2"/>
        <v>ON SALE</v>
      </c>
      <c r="N55" s="1">
        <f t="shared" si="3"/>
        <v>32.43382145</v>
      </c>
      <c r="O55" s="1">
        <f t="shared" si="4"/>
        <v>36.90965705</v>
      </c>
      <c r="P55" s="4">
        <f t="shared" si="5"/>
        <v>-0.0394172548</v>
      </c>
    </row>
    <row r="56" ht="15.75" customHeight="1">
      <c r="A56" s="3">
        <v>41692.0</v>
      </c>
      <c r="B56" s="1">
        <v>2014.0</v>
      </c>
      <c r="C56" s="1">
        <v>2.0</v>
      </c>
      <c r="D56" s="1" t="s">
        <v>18</v>
      </c>
      <c r="E56" s="1">
        <v>309217.8755625262</v>
      </c>
      <c r="F56" s="1">
        <v>320116.92432327796</v>
      </c>
      <c r="G56" s="1">
        <v>9772.0</v>
      </c>
      <c r="H56" s="1">
        <v>31.64</v>
      </c>
      <c r="I56" s="1">
        <v>32.76</v>
      </c>
      <c r="J56" s="1">
        <v>-1.12</v>
      </c>
      <c r="K56" s="1">
        <v>-3.52</v>
      </c>
      <c r="L56" s="1">
        <f t="shared" si="1"/>
        <v>-10899.04876</v>
      </c>
      <c r="M56" s="1" t="str">
        <f t="shared" si="2"/>
        <v>ON SALE</v>
      </c>
      <c r="N56" s="1">
        <f t="shared" si="3"/>
        <v>31.64325374</v>
      </c>
      <c r="O56" s="1">
        <f t="shared" si="4"/>
        <v>36.91754993</v>
      </c>
      <c r="P56" s="4">
        <f t="shared" si="5"/>
        <v>-0.03946404275</v>
      </c>
    </row>
    <row r="57" ht="15.75" customHeight="1">
      <c r="A57" s="3">
        <v>41693.0</v>
      </c>
      <c r="B57" s="1">
        <v>2014.0</v>
      </c>
      <c r="C57" s="1">
        <v>2.0</v>
      </c>
      <c r="D57" s="1" t="s">
        <v>18</v>
      </c>
      <c r="E57" s="1">
        <v>138491.5499504623</v>
      </c>
      <c r="F57" s="1">
        <v>140752.60159166716</v>
      </c>
      <c r="G57" s="1">
        <v>4270.0</v>
      </c>
      <c r="H57" s="1">
        <v>32.43</v>
      </c>
      <c r="I57" s="1">
        <v>32.96</v>
      </c>
      <c r="J57" s="1">
        <v>-0.53</v>
      </c>
      <c r="K57" s="1">
        <v>-1.63</v>
      </c>
      <c r="L57" s="1">
        <f t="shared" si="1"/>
        <v>-2261.051641</v>
      </c>
      <c r="M57" s="1" t="str">
        <f t="shared" si="2"/>
        <v>ON SALE</v>
      </c>
      <c r="N57" s="1">
        <f t="shared" si="3"/>
        <v>32.43361826</v>
      </c>
      <c r="O57" s="1">
        <f t="shared" si="4"/>
        <v>36.92564596</v>
      </c>
      <c r="P57" s="4">
        <f t="shared" si="5"/>
        <v>-0.03947135491</v>
      </c>
    </row>
    <row r="58" ht="15.75" customHeight="1">
      <c r="A58" s="3">
        <v>41694.0</v>
      </c>
      <c r="B58" s="1">
        <v>2014.0</v>
      </c>
      <c r="C58" s="1">
        <v>2.0</v>
      </c>
      <c r="D58" s="1" t="s">
        <v>18</v>
      </c>
      <c r="E58" s="1">
        <v>133146.22220523606</v>
      </c>
      <c r="F58" s="1">
        <v>134505.40422379476</v>
      </c>
      <c r="G58" s="1">
        <v>4106.0</v>
      </c>
      <c r="H58" s="1">
        <v>32.43</v>
      </c>
      <c r="I58" s="1">
        <v>32.76</v>
      </c>
      <c r="J58" s="1">
        <v>-0.33</v>
      </c>
      <c r="K58" s="1">
        <v>-1.02</v>
      </c>
      <c r="L58" s="1">
        <f t="shared" si="1"/>
        <v>-1359.182019</v>
      </c>
      <c r="M58" s="1" t="str">
        <f t="shared" si="2"/>
        <v>ON SALE</v>
      </c>
      <c r="N58" s="1">
        <f t="shared" si="3"/>
        <v>32.42723385</v>
      </c>
      <c r="O58" s="1">
        <f t="shared" si="4"/>
        <v>36.92901939</v>
      </c>
      <c r="P58" s="4">
        <f t="shared" si="5"/>
        <v>-0.03948934394</v>
      </c>
    </row>
    <row r="59" ht="15.75" customHeight="1">
      <c r="A59" s="3">
        <v>41695.0</v>
      </c>
      <c r="B59" s="1">
        <v>2014.0</v>
      </c>
      <c r="C59" s="1">
        <v>2.0</v>
      </c>
      <c r="D59" s="1" t="s">
        <v>18</v>
      </c>
      <c r="E59" s="1">
        <v>224994.65618289215</v>
      </c>
      <c r="F59" s="1">
        <v>227546.44655960065</v>
      </c>
      <c r="G59" s="1">
        <v>6937.0</v>
      </c>
      <c r="H59" s="1">
        <v>32.43</v>
      </c>
      <c r="I59" s="1">
        <v>32.8</v>
      </c>
      <c r="J59" s="1">
        <v>-0.37</v>
      </c>
      <c r="K59" s="1">
        <v>-1.13</v>
      </c>
      <c r="L59" s="1">
        <f t="shared" si="1"/>
        <v>-2551.790377</v>
      </c>
      <c r="M59" s="1" t="str">
        <f t="shared" si="2"/>
        <v>ON SALE</v>
      </c>
      <c r="N59" s="1">
        <f t="shared" si="3"/>
        <v>32.43399974</v>
      </c>
      <c r="O59" s="1">
        <f t="shared" si="4"/>
        <v>36.93243654</v>
      </c>
      <c r="P59" s="4">
        <f t="shared" si="5"/>
        <v>-0.03951124008</v>
      </c>
    </row>
    <row r="60" ht="15.75" customHeight="1">
      <c r="A60" s="3">
        <v>41696.0</v>
      </c>
      <c r="B60" s="1">
        <v>2014.0</v>
      </c>
      <c r="C60" s="1">
        <v>2.0</v>
      </c>
      <c r="D60" s="1" t="s">
        <v>18</v>
      </c>
      <c r="E60" s="1">
        <v>225051.59146803216</v>
      </c>
      <c r="F60" s="1">
        <v>228214.1421194314</v>
      </c>
      <c r="G60" s="1">
        <v>6934.0</v>
      </c>
      <c r="H60" s="1">
        <v>32.46</v>
      </c>
      <c r="I60" s="1">
        <v>32.91</v>
      </c>
      <c r="J60" s="1">
        <v>-0.46</v>
      </c>
      <c r="K60" s="1">
        <v>-1.41</v>
      </c>
      <c r="L60" s="1">
        <f t="shared" si="1"/>
        <v>-3162.550651</v>
      </c>
      <c r="M60" s="1" t="str">
        <f t="shared" si="2"/>
        <v>ON SALE</v>
      </c>
      <c r="N60" s="1">
        <f t="shared" si="3"/>
        <v>32.45624336</v>
      </c>
      <c r="O60" s="1">
        <f t="shared" si="4"/>
        <v>36.93816204</v>
      </c>
      <c r="P60" s="4">
        <f t="shared" si="5"/>
        <v>-0.03954688139</v>
      </c>
    </row>
    <row r="61" ht="15.75" customHeight="1">
      <c r="A61" s="3">
        <v>41697.0</v>
      </c>
      <c r="B61" s="1">
        <v>2014.0</v>
      </c>
      <c r="C61" s="1">
        <v>2.0</v>
      </c>
      <c r="D61" s="1" t="s">
        <v>18</v>
      </c>
      <c r="E61" s="1">
        <v>344299.68244113005</v>
      </c>
      <c r="F61" s="1">
        <v>365935.6529559262</v>
      </c>
      <c r="G61" s="1">
        <v>11082.0</v>
      </c>
      <c r="H61" s="1">
        <v>31.07</v>
      </c>
      <c r="I61" s="1">
        <v>33.02</v>
      </c>
      <c r="J61" s="1">
        <v>-1.95</v>
      </c>
      <c r="K61" s="1">
        <v>-6.28</v>
      </c>
      <c r="L61" s="1">
        <f t="shared" si="1"/>
        <v>-21635.97051</v>
      </c>
      <c r="M61" s="1" t="str">
        <f t="shared" si="2"/>
        <v>ON SALE</v>
      </c>
      <c r="N61" s="1">
        <f t="shared" si="3"/>
        <v>31.06837055</v>
      </c>
      <c r="O61" s="1">
        <f t="shared" si="4"/>
        <v>36.94374767</v>
      </c>
      <c r="P61" s="4">
        <f t="shared" si="5"/>
        <v>-0.03957918679</v>
      </c>
    </row>
    <row r="62" ht="15.75" customHeight="1">
      <c r="A62" s="3">
        <v>41698.0</v>
      </c>
      <c r="B62" s="1">
        <v>2014.0</v>
      </c>
      <c r="C62" s="1">
        <v>2.0</v>
      </c>
      <c r="D62" s="1" t="s">
        <v>18</v>
      </c>
      <c r="E62" s="1">
        <v>661876.4999996495</v>
      </c>
      <c r="F62" s="1">
        <v>686656.7909921708</v>
      </c>
      <c r="G62" s="1">
        <v>20805.0</v>
      </c>
      <c r="H62" s="1">
        <v>31.81</v>
      </c>
      <c r="I62" s="1">
        <v>33.0</v>
      </c>
      <c r="J62" s="1">
        <v>-1.19</v>
      </c>
      <c r="K62" s="1">
        <v>-3.74</v>
      </c>
      <c r="L62" s="1">
        <f t="shared" si="1"/>
        <v>-24780.29099</v>
      </c>
      <c r="M62" s="1" t="str">
        <f t="shared" si="2"/>
        <v>ON SALE</v>
      </c>
      <c r="N62" s="1">
        <f t="shared" si="3"/>
        <v>31.81333814</v>
      </c>
      <c r="O62" s="1">
        <f t="shared" si="4"/>
        <v>36.95246606</v>
      </c>
      <c r="P62" s="4">
        <f t="shared" si="5"/>
        <v>-0.039534005</v>
      </c>
    </row>
    <row r="63" ht="15.75" customHeight="1">
      <c r="A63" s="3">
        <v>41699.0</v>
      </c>
      <c r="B63" s="1">
        <v>2014.0</v>
      </c>
      <c r="C63" s="1">
        <v>3.0</v>
      </c>
      <c r="D63" s="1" t="s">
        <v>19</v>
      </c>
      <c r="E63" s="1">
        <v>846678.388160804</v>
      </c>
      <c r="F63" s="1">
        <v>872081.5850035211</v>
      </c>
      <c r="G63" s="1">
        <v>26410.0</v>
      </c>
      <c r="H63" s="1">
        <v>32.06</v>
      </c>
      <c r="I63" s="1">
        <v>33.02</v>
      </c>
      <c r="J63" s="1">
        <v>-0.96</v>
      </c>
      <c r="K63" s="1">
        <v>-3.0</v>
      </c>
      <c r="L63" s="1">
        <f t="shared" si="1"/>
        <v>-25403.19684</v>
      </c>
      <c r="M63" s="1" t="str">
        <f t="shared" si="2"/>
        <v>ON SALE</v>
      </c>
      <c r="N63" s="1">
        <f t="shared" si="3"/>
        <v>32.0590075</v>
      </c>
      <c r="O63" s="1">
        <f t="shared" si="4"/>
        <v>36.96900713</v>
      </c>
      <c r="P63" s="4">
        <f t="shared" si="5"/>
        <v>-0.03954185529</v>
      </c>
    </row>
    <row r="64" ht="15.75" customHeight="1">
      <c r="A64" s="3">
        <v>41700.0</v>
      </c>
      <c r="B64" s="1">
        <v>2014.0</v>
      </c>
      <c r="C64" s="1">
        <v>3.0</v>
      </c>
      <c r="D64" s="1" t="s">
        <v>19</v>
      </c>
      <c r="E64" s="1">
        <v>478902.30487182323</v>
      </c>
      <c r="F64" s="1">
        <v>495554.4499238885</v>
      </c>
      <c r="G64" s="1">
        <v>15004.0</v>
      </c>
      <c r="H64" s="1">
        <v>31.92</v>
      </c>
      <c r="I64" s="1">
        <v>33.03</v>
      </c>
      <c r="J64" s="1">
        <v>-1.11</v>
      </c>
      <c r="K64" s="1">
        <v>-3.48</v>
      </c>
      <c r="L64" s="1">
        <f t="shared" si="1"/>
        <v>-16652.14505</v>
      </c>
      <c r="M64" s="1" t="str">
        <f t="shared" si="2"/>
        <v>ON SALE</v>
      </c>
      <c r="N64" s="1">
        <f t="shared" si="3"/>
        <v>31.91830878</v>
      </c>
      <c r="O64" s="1">
        <f t="shared" si="4"/>
        <v>36.9901171</v>
      </c>
      <c r="P64" s="4">
        <f t="shared" si="5"/>
        <v>-0.03958780709</v>
      </c>
    </row>
    <row r="65" ht="15.75" customHeight="1">
      <c r="A65" s="3">
        <v>41701.0</v>
      </c>
      <c r="B65" s="1">
        <v>2014.0</v>
      </c>
      <c r="C65" s="1">
        <v>3.0</v>
      </c>
      <c r="D65" s="1" t="s">
        <v>19</v>
      </c>
      <c r="E65" s="1">
        <v>538827.2021325426</v>
      </c>
      <c r="F65" s="1">
        <v>557567.1369848134</v>
      </c>
      <c r="G65" s="1">
        <v>16884.0</v>
      </c>
      <c r="H65" s="1">
        <v>31.91</v>
      </c>
      <c r="I65" s="1">
        <v>33.02</v>
      </c>
      <c r="J65" s="1">
        <v>-1.11</v>
      </c>
      <c r="K65" s="1">
        <v>-3.48</v>
      </c>
      <c r="L65" s="1">
        <f t="shared" si="1"/>
        <v>-18739.93485</v>
      </c>
      <c r="M65" s="1" t="str">
        <f t="shared" si="2"/>
        <v>ON SALE</v>
      </c>
      <c r="N65" s="1">
        <f t="shared" si="3"/>
        <v>31.91348034</v>
      </c>
      <c r="O65" s="1">
        <f t="shared" si="4"/>
        <v>37.00218876</v>
      </c>
      <c r="P65" s="4">
        <f t="shared" si="5"/>
        <v>-0.03960096696</v>
      </c>
    </row>
    <row r="66" ht="15.75" customHeight="1">
      <c r="A66" s="3">
        <v>41702.0</v>
      </c>
      <c r="B66" s="1">
        <v>2014.0</v>
      </c>
      <c r="C66" s="1">
        <v>3.0</v>
      </c>
      <c r="D66" s="1" t="s">
        <v>19</v>
      </c>
      <c r="E66" s="1">
        <v>310346.1212875447</v>
      </c>
      <c r="F66" s="1">
        <v>323325.0299270246</v>
      </c>
      <c r="G66" s="1">
        <v>9789.0</v>
      </c>
      <c r="H66" s="1">
        <v>31.7</v>
      </c>
      <c r="I66" s="1">
        <v>33.03</v>
      </c>
      <c r="J66" s="1">
        <v>-1.33</v>
      </c>
      <c r="K66" s="1">
        <v>-4.18</v>
      </c>
      <c r="L66" s="1">
        <f t="shared" si="1"/>
        <v>-12978.90864</v>
      </c>
      <c r="M66" s="1" t="str">
        <f t="shared" si="2"/>
        <v>ON SALE</v>
      </c>
      <c r="N66" s="1">
        <f t="shared" si="3"/>
        <v>31.70355719</v>
      </c>
      <c r="O66" s="1">
        <f t="shared" si="4"/>
        <v>37.01587763</v>
      </c>
      <c r="P66" s="4">
        <f t="shared" si="5"/>
        <v>-0.03961583622</v>
      </c>
    </row>
    <row r="67" ht="15.75" customHeight="1">
      <c r="A67" s="3">
        <v>41703.0</v>
      </c>
      <c r="B67" s="1">
        <v>2014.0</v>
      </c>
      <c r="C67" s="1">
        <v>3.0</v>
      </c>
      <c r="D67" s="1" t="s">
        <v>19</v>
      </c>
      <c r="E67" s="1">
        <v>256390.52221047232</v>
      </c>
      <c r="F67" s="1">
        <v>267308.50708271045</v>
      </c>
      <c r="G67" s="1">
        <v>8079.0</v>
      </c>
      <c r="H67" s="1">
        <v>31.74</v>
      </c>
      <c r="I67" s="1">
        <v>33.09</v>
      </c>
      <c r="J67" s="1">
        <v>-1.35</v>
      </c>
      <c r="K67" s="1">
        <v>-4.26</v>
      </c>
      <c r="L67" s="1">
        <f t="shared" si="1"/>
        <v>-10917.98487</v>
      </c>
      <c r="M67" s="1" t="str">
        <f t="shared" si="2"/>
        <v>ON SALE</v>
      </c>
      <c r="N67" s="1">
        <f t="shared" si="3"/>
        <v>31.73542793</v>
      </c>
      <c r="O67" s="1">
        <f t="shared" si="4"/>
        <v>37.02384534</v>
      </c>
      <c r="P67" s="4">
        <f t="shared" si="5"/>
        <v>-0.03961191305</v>
      </c>
    </row>
    <row r="68" ht="15.75" customHeight="1">
      <c r="A68" s="3">
        <v>41704.0</v>
      </c>
      <c r="B68" s="1">
        <v>2014.0</v>
      </c>
      <c r="C68" s="1">
        <v>3.0</v>
      </c>
      <c r="D68" s="1" t="s">
        <v>19</v>
      </c>
      <c r="E68" s="1">
        <v>167803.65977609382</v>
      </c>
      <c r="F68" s="1">
        <v>168135.6900061219</v>
      </c>
      <c r="G68" s="1">
        <v>5072.0</v>
      </c>
      <c r="H68" s="1">
        <v>33.08</v>
      </c>
      <c r="I68" s="1">
        <v>33.15</v>
      </c>
      <c r="J68" s="1">
        <v>-0.07</v>
      </c>
      <c r="K68" s="1">
        <v>-0.2</v>
      </c>
      <c r="L68" s="1">
        <f t="shared" si="1"/>
        <v>-332.03023</v>
      </c>
      <c r="M68" s="1" t="str">
        <f t="shared" si="2"/>
        <v>ON SALE</v>
      </c>
      <c r="N68" s="1">
        <f t="shared" si="3"/>
        <v>33.08431778</v>
      </c>
      <c r="O68" s="1">
        <f t="shared" si="4"/>
        <v>37.03035039</v>
      </c>
      <c r="P68" s="4">
        <f t="shared" si="5"/>
        <v>-0.03960753868</v>
      </c>
    </row>
    <row r="69" ht="15.75" customHeight="1">
      <c r="A69" s="3">
        <v>41705.0</v>
      </c>
      <c r="B69" s="1">
        <v>2014.0</v>
      </c>
      <c r="C69" s="1">
        <v>3.0</v>
      </c>
      <c r="D69" s="1" t="s">
        <v>19</v>
      </c>
      <c r="E69" s="1">
        <v>465318.02151156624</v>
      </c>
      <c r="F69" s="1">
        <v>483774.59671529237</v>
      </c>
      <c r="G69" s="1">
        <v>14551.0</v>
      </c>
      <c r="H69" s="1">
        <v>31.98</v>
      </c>
      <c r="I69" s="1">
        <v>33.25</v>
      </c>
      <c r="J69" s="1">
        <v>-1.27</v>
      </c>
      <c r="K69" s="1">
        <v>-3.97</v>
      </c>
      <c r="L69" s="1">
        <f t="shared" si="1"/>
        <v>-18456.5752</v>
      </c>
      <c r="M69" s="1" t="str">
        <f t="shared" si="2"/>
        <v>ON SALE</v>
      </c>
      <c r="N69" s="1">
        <f t="shared" si="3"/>
        <v>31.97842221</v>
      </c>
      <c r="O69" s="1">
        <f t="shared" si="4"/>
        <v>37.03437989</v>
      </c>
      <c r="P69" s="4">
        <f t="shared" si="5"/>
        <v>-0.03964382796</v>
      </c>
    </row>
    <row r="70" ht="15.75" customHeight="1">
      <c r="A70" s="3">
        <v>41706.0</v>
      </c>
      <c r="B70" s="1">
        <v>2014.0</v>
      </c>
      <c r="C70" s="1">
        <v>3.0</v>
      </c>
      <c r="D70" s="1" t="s">
        <v>19</v>
      </c>
      <c r="E70" s="1">
        <v>520146.74963959056</v>
      </c>
      <c r="F70" s="1">
        <v>541498.9582445963</v>
      </c>
      <c r="G70" s="1">
        <v>16262.0</v>
      </c>
      <c r="H70" s="1">
        <v>31.99</v>
      </c>
      <c r="I70" s="1">
        <v>33.3</v>
      </c>
      <c r="J70" s="1">
        <v>-1.31</v>
      </c>
      <c r="K70" s="1">
        <v>-4.11</v>
      </c>
      <c r="L70" s="1">
        <f t="shared" si="1"/>
        <v>-21352.20861</v>
      </c>
      <c r="M70" s="1" t="str">
        <f t="shared" si="2"/>
        <v>ON SALE</v>
      </c>
      <c r="N70" s="1">
        <f t="shared" si="3"/>
        <v>31.98541075</v>
      </c>
      <c r="O70" s="1">
        <f t="shared" si="4"/>
        <v>37.04569668</v>
      </c>
      <c r="P70" s="4">
        <f t="shared" si="5"/>
        <v>-0.03964377271</v>
      </c>
    </row>
    <row r="71" ht="15.75" customHeight="1">
      <c r="A71" s="3">
        <v>41707.0</v>
      </c>
      <c r="B71" s="1">
        <v>2014.0</v>
      </c>
      <c r="C71" s="1">
        <v>3.0</v>
      </c>
      <c r="D71" s="1" t="s">
        <v>19</v>
      </c>
      <c r="E71" s="1">
        <v>224699.25281941216</v>
      </c>
      <c r="F71" s="1">
        <v>233589.98296832</v>
      </c>
      <c r="G71" s="1">
        <v>7014.0</v>
      </c>
      <c r="H71" s="1">
        <v>32.04</v>
      </c>
      <c r="I71" s="1">
        <v>33.3</v>
      </c>
      <c r="J71" s="1">
        <v>-1.27</v>
      </c>
      <c r="K71" s="1">
        <v>-3.96</v>
      </c>
      <c r="L71" s="1">
        <f t="shared" si="1"/>
        <v>-8890.730149</v>
      </c>
      <c r="M71" s="1" t="str">
        <f t="shared" si="2"/>
        <v>ON SALE</v>
      </c>
      <c r="N71" s="1">
        <f t="shared" si="3"/>
        <v>32.03582162</v>
      </c>
      <c r="O71" s="1">
        <f t="shared" si="4"/>
        <v>37.05825161</v>
      </c>
      <c r="P71" s="4">
        <f t="shared" si="5"/>
        <v>-0.03963954395</v>
      </c>
    </row>
    <row r="72" ht="15.75" customHeight="1">
      <c r="A72" s="3">
        <v>41708.0</v>
      </c>
      <c r="B72" s="1">
        <v>2014.0</v>
      </c>
      <c r="C72" s="1">
        <v>3.0</v>
      </c>
      <c r="D72" s="1" t="s">
        <v>19</v>
      </c>
      <c r="E72" s="1">
        <v>286230.6788963384</v>
      </c>
      <c r="F72" s="1">
        <v>297642.8914364595</v>
      </c>
      <c r="G72" s="1">
        <v>8932.0</v>
      </c>
      <c r="H72" s="1">
        <v>32.05</v>
      </c>
      <c r="I72" s="1">
        <v>33.32</v>
      </c>
      <c r="J72" s="1">
        <v>-1.28</v>
      </c>
      <c r="K72" s="1">
        <v>-3.99</v>
      </c>
      <c r="L72" s="1">
        <f t="shared" si="1"/>
        <v>-11412.21254</v>
      </c>
      <c r="M72" s="1" t="str">
        <f t="shared" si="2"/>
        <v>ON SALE</v>
      </c>
      <c r="N72" s="1">
        <f t="shared" si="3"/>
        <v>32.04553055</v>
      </c>
      <c r="O72" s="1">
        <f t="shared" si="4"/>
        <v>37.06368552</v>
      </c>
      <c r="P72" s="4">
        <f t="shared" si="5"/>
        <v>-0.03963963797</v>
      </c>
    </row>
    <row r="73" ht="15.75" customHeight="1">
      <c r="A73" s="3">
        <v>41709.0</v>
      </c>
      <c r="B73" s="1">
        <v>2014.0</v>
      </c>
      <c r="C73" s="1">
        <v>3.0</v>
      </c>
      <c r="D73" s="1" t="s">
        <v>19</v>
      </c>
      <c r="E73" s="1">
        <v>187143.0180625835</v>
      </c>
      <c r="F73" s="1">
        <v>191499.04281320787</v>
      </c>
      <c r="G73" s="1">
        <v>5737.0</v>
      </c>
      <c r="H73" s="1">
        <v>32.62</v>
      </c>
      <c r="I73" s="1">
        <v>33.38</v>
      </c>
      <c r="J73" s="1">
        <v>-0.76</v>
      </c>
      <c r="K73" s="1">
        <v>-2.33</v>
      </c>
      <c r="L73" s="1">
        <f t="shared" si="1"/>
        <v>-4356.024751</v>
      </c>
      <c r="M73" s="1" t="str">
        <f t="shared" si="2"/>
        <v>ON SALE</v>
      </c>
      <c r="N73" s="1">
        <f t="shared" si="3"/>
        <v>32.62036222</v>
      </c>
      <c r="O73" s="1">
        <f t="shared" si="4"/>
        <v>37.07059157</v>
      </c>
      <c r="P73" s="4">
        <f t="shared" si="5"/>
        <v>-0.0396392546</v>
      </c>
    </row>
    <row r="74" ht="15.75" customHeight="1">
      <c r="A74" s="3">
        <v>41710.0</v>
      </c>
      <c r="B74" s="1">
        <v>2014.0</v>
      </c>
      <c r="C74" s="1">
        <v>3.0</v>
      </c>
      <c r="D74" s="1" t="s">
        <v>19</v>
      </c>
      <c r="E74" s="1">
        <v>191700.3891282347</v>
      </c>
      <c r="F74" s="1">
        <v>197153.4240190601</v>
      </c>
      <c r="G74" s="1">
        <v>5903.0</v>
      </c>
      <c r="H74" s="1">
        <v>32.48</v>
      </c>
      <c r="I74" s="1">
        <v>33.4</v>
      </c>
      <c r="J74" s="1">
        <v>-0.92</v>
      </c>
      <c r="K74" s="1">
        <v>-2.84</v>
      </c>
      <c r="L74" s="1">
        <f t="shared" si="1"/>
        <v>-5453.034891</v>
      </c>
      <c r="M74" s="1" t="str">
        <f t="shared" si="2"/>
        <v>ON SALE</v>
      </c>
      <c r="N74" s="1">
        <f t="shared" si="3"/>
        <v>32.47507863</v>
      </c>
      <c r="O74" s="1">
        <f t="shared" si="4"/>
        <v>37.07497376</v>
      </c>
      <c r="P74" s="4">
        <f t="shared" si="5"/>
        <v>-0.03965702551</v>
      </c>
    </row>
    <row r="75" ht="15.75" customHeight="1">
      <c r="A75" s="3">
        <v>41711.0</v>
      </c>
      <c r="B75" s="1">
        <v>2014.0</v>
      </c>
      <c r="C75" s="1">
        <v>3.0</v>
      </c>
      <c r="D75" s="1" t="s">
        <v>19</v>
      </c>
      <c r="E75" s="1">
        <v>164663.9676028023</v>
      </c>
      <c r="F75" s="1">
        <v>168975.17404544077</v>
      </c>
      <c r="G75" s="1">
        <v>5056.0</v>
      </c>
      <c r="H75" s="1">
        <v>32.57</v>
      </c>
      <c r="I75" s="1">
        <v>33.42</v>
      </c>
      <c r="J75" s="1">
        <v>-0.85</v>
      </c>
      <c r="K75" s="1">
        <v>-2.62</v>
      </c>
      <c r="L75" s="1">
        <f t="shared" si="1"/>
        <v>-4311.206443</v>
      </c>
      <c r="M75" s="1" t="str">
        <f t="shared" si="2"/>
        <v>ON SALE</v>
      </c>
      <c r="N75" s="1">
        <f t="shared" si="3"/>
        <v>32.56803157</v>
      </c>
      <c r="O75" s="1">
        <f t="shared" si="4"/>
        <v>37.07947014</v>
      </c>
      <c r="P75" s="4">
        <f t="shared" si="5"/>
        <v>-0.03966951214</v>
      </c>
    </row>
    <row r="76" ht="15.75" customHeight="1">
      <c r="A76" s="3">
        <v>41712.0</v>
      </c>
      <c r="B76" s="1">
        <v>2014.0</v>
      </c>
      <c r="C76" s="1">
        <v>3.0</v>
      </c>
      <c r="D76" s="1" t="s">
        <v>19</v>
      </c>
      <c r="E76" s="1">
        <v>395941.3451321622</v>
      </c>
      <c r="F76" s="1">
        <v>406765.91395402345</v>
      </c>
      <c r="G76" s="1">
        <v>12167.0</v>
      </c>
      <c r="H76" s="1">
        <v>32.54</v>
      </c>
      <c r="I76" s="1">
        <v>33.43</v>
      </c>
      <c r="J76" s="1">
        <v>-0.89</v>
      </c>
      <c r="K76" s="1">
        <v>-2.73</v>
      </c>
      <c r="L76" s="1">
        <f t="shared" si="1"/>
        <v>-10824.56882</v>
      </c>
      <c r="M76" s="1" t="str">
        <f t="shared" si="2"/>
        <v>ON SALE</v>
      </c>
      <c r="N76" s="1">
        <f t="shared" si="3"/>
        <v>32.54223269</v>
      </c>
      <c r="O76" s="1">
        <f t="shared" si="4"/>
        <v>37.08330716</v>
      </c>
      <c r="P76" s="4">
        <f t="shared" si="5"/>
        <v>-0.0396824277</v>
      </c>
    </row>
    <row r="77" ht="15.75" customHeight="1">
      <c r="A77" s="3">
        <v>41713.0</v>
      </c>
      <c r="B77" s="1">
        <v>2014.0</v>
      </c>
      <c r="C77" s="1">
        <v>3.0</v>
      </c>
      <c r="D77" s="1" t="s">
        <v>19</v>
      </c>
      <c r="E77" s="1">
        <v>518183.2103749144</v>
      </c>
      <c r="F77" s="1">
        <v>534383.1431186085</v>
      </c>
      <c r="G77" s="1">
        <v>15971.0</v>
      </c>
      <c r="H77" s="1">
        <v>32.45</v>
      </c>
      <c r="I77" s="1">
        <v>33.46</v>
      </c>
      <c r="J77" s="1">
        <v>-1.01</v>
      </c>
      <c r="K77" s="1">
        <v>-3.13</v>
      </c>
      <c r="L77" s="1">
        <f t="shared" si="1"/>
        <v>-16199.93274</v>
      </c>
      <c r="M77" s="1" t="str">
        <f t="shared" si="2"/>
        <v>ON SALE</v>
      </c>
      <c r="N77" s="1">
        <f t="shared" si="3"/>
        <v>32.44525768</v>
      </c>
      <c r="O77" s="1">
        <f t="shared" si="4"/>
        <v>37.09254556</v>
      </c>
      <c r="P77" s="4">
        <f t="shared" si="5"/>
        <v>-0.03971091502</v>
      </c>
    </row>
    <row r="78" ht="15.75" customHeight="1">
      <c r="A78" s="3">
        <v>41714.0</v>
      </c>
      <c r="B78" s="1">
        <v>2014.0</v>
      </c>
      <c r="C78" s="1">
        <v>3.0</v>
      </c>
      <c r="D78" s="1" t="s">
        <v>19</v>
      </c>
      <c r="E78" s="1">
        <v>226617.95494027078</v>
      </c>
      <c r="F78" s="1">
        <v>233191.10456622293</v>
      </c>
      <c r="G78" s="1">
        <v>6968.0</v>
      </c>
      <c r="H78" s="1">
        <v>32.52</v>
      </c>
      <c r="I78" s="1">
        <v>33.47</v>
      </c>
      <c r="J78" s="1">
        <v>-0.94</v>
      </c>
      <c r="K78" s="1">
        <v>-2.9</v>
      </c>
      <c r="L78" s="1">
        <f t="shared" si="1"/>
        <v>-6573.149626</v>
      </c>
      <c r="M78" s="1" t="str">
        <f t="shared" si="2"/>
        <v>ON SALE</v>
      </c>
      <c r="N78" s="1">
        <f t="shared" si="3"/>
        <v>32.52266862</v>
      </c>
      <c r="O78" s="1">
        <f t="shared" si="4"/>
        <v>37.10465125</v>
      </c>
      <c r="P78" s="4">
        <f t="shared" si="5"/>
        <v>-0.03973650843</v>
      </c>
    </row>
    <row r="79" ht="15.75" customHeight="1">
      <c r="A79" s="3">
        <v>41715.0</v>
      </c>
      <c r="B79" s="1">
        <v>2014.0</v>
      </c>
      <c r="C79" s="1">
        <v>3.0</v>
      </c>
      <c r="D79" s="1" t="s">
        <v>19</v>
      </c>
      <c r="E79" s="1">
        <v>243707.871947377</v>
      </c>
      <c r="F79" s="1">
        <v>250794.22126409467</v>
      </c>
      <c r="G79" s="1">
        <v>7494.0</v>
      </c>
      <c r="H79" s="1">
        <v>32.52</v>
      </c>
      <c r="I79" s="1">
        <v>33.47</v>
      </c>
      <c r="J79" s="1">
        <v>-0.95</v>
      </c>
      <c r="K79" s="1">
        <v>-2.91</v>
      </c>
      <c r="L79" s="1">
        <f t="shared" si="1"/>
        <v>-7086.349317</v>
      </c>
      <c r="M79" s="1" t="str">
        <f t="shared" si="2"/>
        <v>ON SALE</v>
      </c>
      <c r="N79" s="1">
        <f t="shared" si="3"/>
        <v>32.52039925</v>
      </c>
      <c r="O79" s="1">
        <f t="shared" si="4"/>
        <v>37.10994883</v>
      </c>
      <c r="P79" s="4">
        <f t="shared" si="5"/>
        <v>-0.03975074503</v>
      </c>
    </row>
    <row r="80" ht="15.75" customHeight="1">
      <c r="A80" s="3">
        <v>41716.0</v>
      </c>
      <c r="B80" s="1">
        <v>2014.0</v>
      </c>
      <c r="C80" s="1">
        <v>3.0</v>
      </c>
      <c r="D80" s="1" t="s">
        <v>19</v>
      </c>
      <c r="E80" s="1">
        <v>94849.7437997705</v>
      </c>
      <c r="F80" s="1">
        <v>90571.58892297688</v>
      </c>
      <c r="G80" s="1">
        <v>2707.0</v>
      </c>
      <c r="H80" s="1">
        <v>35.04</v>
      </c>
      <c r="I80" s="1">
        <v>33.46</v>
      </c>
      <c r="J80" s="1">
        <v>1.58</v>
      </c>
      <c r="K80" s="1">
        <v>4.51</v>
      </c>
      <c r="L80" s="1">
        <f t="shared" si="1"/>
        <v>4278.154877</v>
      </c>
      <c r="M80" s="1" t="str">
        <f t="shared" si="2"/>
        <v>Regular</v>
      </c>
      <c r="N80" s="1">
        <f t="shared" si="3"/>
        <v>35.03869368</v>
      </c>
      <c r="O80" s="1">
        <f t="shared" si="4"/>
        <v>37.11566356</v>
      </c>
      <c r="P80" s="4">
        <f t="shared" si="5"/>
        <v>-0.03976599487</v>
      </c>
    </row>
    <row r="81" ht="15.75" customHeight="1">
      <c r="A81" s="3">
        <v>41717.0</v>
      </c>
      <c r="B81" s="1">
        <v>2014.0</v>
      </c>
      <c r="C81" s="1">
        <v>3.0</v>
      </c>
      <c r="D81" s="1" t="s">
        <v>19</v>
      </c>
      <c r="E81" s="1">
        <v>92386.78306657562</v>
      </c>
      <c r="F81" s="1">
        <v>88255.8409917939</v>
      </c>
      <c r="G81" s="1">
        <v>2637.0</v>
      </c>
      <c r="H81" s="1">
        <v>35.03</v>
      </c>
      <c r="I81" s="1">
        <v>33.47</v>
      </c>
      <c r="J81" s="1">
        <v>1.57</v>
      </c>
      <c r="K81" s="1">
        <v>4.47</v>
      </c>
      <c r="L81" s="1">
        <f t="shared" si="1"/>
        <v>4130.942075</v>
      </c>
      <c r="M81" s="1" t="str">
        <f t="shared" si="2"/>
        <v>Regular</v>
      </c>
      <c r="N81" s="1">
        <f t="shared" si="3"/>
        <v>35.03480587</v>
      </c>
      <c r="O81" s="1">
        <f t="shared" si="4"/>
        <v>37.11773662</v>
      </c>
      <c r="P81" s="4">
        <f t="shared" si="5"/>
        <v>-0.03981321454</v>
      </c>
    </row>
    <row r="82" ht="15.75" customHeight="1">
      <c r="A82" s="3">
        <v>41718.0</v>
      </c>
      <c r="B82" s="1">
        <v>2014.0</v>
      </c>
      <c r="C82" s="1">
        <v>3.0</v>
      </c>
      <c r="D82" s="1" t="s">
        <v>19</v>
      </c>
      <c r="E82" s="1">
        <v>180394.82770444016</v>
      </c>
      <c r="F82" s="1">
        <v>172344.3044394809</v>
      </c>
      <c r="G82" s="1">
        <v>5149.0</v>
      </c>
      <c r="H82" s="1">
        <v>35.03</v>
      </c>
      <c r="I82" s="1">
        <v>33.47</v>
      </c>
      <c r="J82" s="1">
        <v>1.56</v>
      </c>
      <c r="K82" s="1">
        <v>4.46</v>
      </c>
      <c r="L82" s="1">
        <f t="shared" si="1"/>
        <v>8050.523265</v>
      </c>
      <c r="M82" s="1" t="str">
        <f t="shared" si="2"/>
        <v>Regular</v>
      </c>
      <c r="N82" s="1">
        <f t="shared" si="3"/>
        <v>35.03492478</v>
      </c>
      <c r="O82" s="1">
        <f t="shared" si="4"/>
        <v>37.11975283</v>
      </c>
      <c r="P82" s="4">
        <f t="shared" si="5"/>
        <v>-0.0398590466</v>
      </c>
    </row>
    <row r="83" ht="15.75" customHeight="1">
      <c r="A83" s="3">
        <v>41719.0</v>
      </c>
      <c r="B83" s="1">
        <v>2014.0</v>
      </c>
      <c r="C83" s="1">
        <v>3.0</v>
      </c>
      <c r="D83" s="1" t="s">
        <v>19</v>
      </c>
      <c r="E83" s="1">
        <v>200939.69236394396</v>
      </c>
      <c r="F83" s="1">
        <v>192019.14427492704</v>
      </c>
      <c r="G83" s="1">
        <v>5735.0</v>
      </c>
      <c r="H83" s="1">
        <v>35.04</v>
      </c>
      <c r="I83" s="1">
        <v>33.48</v>
      </c>
      <c r="J83" s="1">
        <v>1.56</v>
      </c>
      <c r="K83" s="1">
        <v>4.44</v>
      </c>
      <c r="L83" s="1">
        <f t="shared" si="1"/>
        <v>8920.548089</v>
      </c>
      <c r="M83" s="1" t="str">
        <f t="shared" si="2"/>
        <v>Regular</v>
      </c>
      <c r="N83" s="1">
        <f t="shared" si="3"/>
        <v>35.03743546</v>
      </c>
      <c r="O83" s="1">
        <f t="shared" si="4"/>
        <v>37.12369271</v>
      </c>
      <c r="P83" s="4">
        <f t="shared" si="5"/>
        <v>-0.03994859041</v>
      </c>
    </row>
    <row r="84" ht="15.75" customHeight="1">
      <c r="A84" s="3">
        <v>41720.0</v>
      </c>
      <c r="B84" s="1">
        <v>2014.0</v>
      </c>
      <c r="C84" s="1">
        <v>3.0</v>
      </c>
      <c r="D84" s="1" t="s">
        <v>19</v>
      </c>
      <c r="E84" s="1">
        <v>172953.92471044016</v>
      </c>
      <c r="F84" s="1">
        <v>165201.30501850985</v>
      </c>
      <c r="G84" s="1">
        <v>4936.0</v>
      </c>
      <c r="H84" s="1">
        <v>35.04</v>
      </c>
      <c r="I84" s="1">
        <v>33.47</v>
      </c>
      <c r="J84" s="1">
        <v>1.57</v>
      </c>
      <c r="K84" s="1">
        <v>4.48</v>
      </c>
      <c r="L84" s="1">
        <f t="shared" si="1"/>
        <v>7752.619692</v>
      </c>
      <c r="M84" s="1" t="str">
        <f t="shared" si="2"/>
        <v>Regular</v>
      </c>
      <c r="N84" s="1">
        <f t="shared" si="3"/>
        <v>35.03928783</v>
      </c>
      <c r="O84" s="1">
        <f t="shared" si="4"/>
        <v>37.12807828</v>
      </c>
      <c r="P84" s="4">
        <f t="shared" si="5"/>
        <v>-0.04004828045</v>
      </c>
    </row>
    <row r="85" ht="15.75" customHeight="1">
      <c r="A85" s="3">
        <v>41721.0</v>
      </c>
      <c r="B85" s="1">
        <v>2014.0</v>
      </c>
      <c r="C85" s="1">
        <v>3.0</v>
      </c>
      <c r="D85" s="1" t="s">
        <v>19</v>
      </c>
      <c r="E85" s="1">
        <v>70194.79953786121</v>
      </c>
      <c r="F85" s="1">
        <v>67061.62270944688</v>
      </c>
      <c r="G85" s="1">
        <v>2003.0</v>
      </c>
      <c r="H85" s="1">
        <v>35.04</v>
      </c>
      <c r="I85" s="1">
        <v>33.48</v>
      </c>
      <c r="J85" s="1">
        <v>1.56</v>
      </c>
      <c r="K85" s="1">
        <v>4.46</v>
      </c>
      <c r="L85" s="1">
        <f t="shared" si="1"/>
        <v>3133.176828</v>
      </c>
      <c r="M85" s="1" t="str">
        <f t="shared" si="2"/>
        <v>Regular</v>
      </c>
      <c r="N85" s="1">
        <f t="shared" si="3"/>
        <v>35.04483252</v>
      </c>
      <c r="O85" s="1">
        <f t="shared" si="4"/>
        <v>37.13187515</v>
      </c>
      <c r="P85" s="4">
        <f t="shared" si="5"/>
        <v>-0.04013471365</v>
      </c>
    </row>
    <row r="86" ht="15.75" customHeight="1">
      <c r="A86" s="3">
        <v>41722.0</v>
      </c>
      <c r="B86" s="1">
        <v>2014.0</v>
      </c>
      <c r="C86" s="1">
        <v>3.0</v>
      </c>
      <c r="D86" s="1" t="s">
        <v>19</v>
      </c>
      <c r="E86" s="1">
        <v>81378.21463167097</v>
      </c>
      <c r="F86" s="1">
        <v>77703.6463336835</v>
      </c>
      <c r="G86" s="1">
        <v>2323.0</v>
      </c>
      <c r="H86" s="1">
        <v>35.03</v>
      </c>
      <c r="I86" s="1">
        <v>33.45</v>
      </c>
      <c r="J86" s="1">
        <v>1.58</v>
      </c>
      <c r="K86" s="1">
        <v>4.52</v>
      </c>
      <c r="L86" s="1">
        <f t="shared" si="1"/>
        <v>3674.568298</v>
      </c>
      <c r="M86" s="1" t="str">
        <f t="shared" si="2"/>
        <v>Regular</v>
      </c>
      <c r="N86" s="1">
        <f t="shared" si="3"/>
        <v>35.03151728</v>
      </c>
      <c r="O86" s="1">
        <f t="shared" si="4"/>
        <v>37.13341311</v>
      </c>
      <c r="P86" s="4">
        <f t="shared" si="5"/>
        <v>-0.04016976525</v>
      </c>
    </row>
    <row r="87" ht="15.75" customHeight="1">
      <c r="A87" s="3">
        <v>41723.0</v>
      </c>
      <c r="B87" s="1">
        <v>2014.0</v>
      </c>
      <c r="C87" s="1">
        <v>3.0</v>
      </c>
      <c r="D87" s="1" t="s">
        <v>19</v>
      </c>
      <c r="E87" s="1">
        <v>130227.01471457879</v>
      </c>
      <c r="F87" s="1">
        <v>127394.28924213616</v>
      </c>
      <c r="G87" s="1">
        <v>3822.0</v>
      </c>
      <c r="H87" s="1">
        <v>34.07</v>
      </c>
      <c r="I87" s="1">
        <v>33.33</v>
      </c>
      <c r="J87" s="1">
        <v>0.74</v>
      </c>
      <c r="K87" s="1">
        <v>2.18</v>
      </c>
      <c r="L87" s="1">
        <f t="shared" si="1"/>
        <v>2832.725472</v>
      </c>
      <c r="M87" s="1" t="str">
        <f t="shared" si="2"/>
        <v>Regular</v>
      </c>
      <c r="N87" s="1">
        <f t="shared" si="3"/>
        <v>34.07300228</v>
      </c>
      <c r="O87" s="1">
        <f t="shared" si="4"/>
        <v>37.13521351</v>
      </c>
      <c r="P87" s="4">
        <f t="shared" si="5"/>
        <v>-0.04021068635</v>
      </c>
    </row>
    <row r="88" ht="15.75" customHeight="1">
      <c r="A88" s="3">
        <v>41724.0</v>
      </c>
      <c r="B88" s="1">
        <v>2014.0</v>
      </c>
      <c r="C88" s="1">
        <v>3.0</v>
      </c>
      <c r="D88" s="1" t="s">
        <v>19</v>
      </c>
      <c r="E88" s="1">
        <v>125310.0364078538</v>
      </c>
      <c r="F88" s="1">
        <v>122275.10258217747</v>
      </c>
      <c r="G88" s="1">
        <v>3666.0</v>
      </c>
      <c r="H88" s="1">
        <v>34.18</v>
      </c>
      <c r="I88" s="1">
        <v>33.35</v>
      </c>
      <c r="J88" s="1">
        <v>0.83</v>
      </c>
      <c r="K88" s="1">
        <v>2.42</v>
      </c>
      <c r="L88" s="1">
        <f t="shared" si="1"/>
        <v>3034.933826</v>
      </c>
      <c r="M88" s="1" t="str">
        <f t="shared" si="2"/>
        <v>Regular</v>
      </c>
      <c r="N88" s="1">
        <f t="shared" si="3"/>
        <v>34.18167933</v>
      </c>
      <c r="O88" s="1">
        <f t="shared" si="4"/>
        <v>37.13827436</v>
      </c>
      <c r="P88" s="4">
        <f t="shared" si="5"/>
        <v>-0.04025827839</v>
      </c>
    </row>
    <row r="89" ht="15.75" customHeight="1">
      <c r="A89" s="3">
        <v>41725.0</v>
      </c>
      <c r="B89" s="1">
        <v>2014.0</v>
      </c>
      <c r="C89" s="1">
        <v>3.0</v>
      </c>
      <c r="D89" s="1" t="s">
        <v>19</v>
      </c>
      <c r="E89" s="1">
        <v>119452.33963454989</v>
      </c>
      <c r="F89" s="1">
        <v>118186.57504122709</v>
      </c>
      <c r="G89" s="1">
        <v>3543.0</v>
      </c>
      <c r="H89" s="1">
        <v>33.72</v>
      </c>
      <c r="I89" s="1">
        <v>33.36</v>
      </c>
      <c r="J89" s="1">
        <v>0.36</v>
      </c>
      <c r="K89" s="1">
        <v>1.06</v>
      </c>
      <c r="L89" s="1">
        <f t="shared" si="1"/>
        <v>1265.764593</v>
      </c>
      <c r="M89" s="1" t="str">
        <f t="shared" si="2"/>
        <v>Regular</v>
      </c>
      <c r="N89" s="1">
        <f t="shared" si="3"/>
        <v>33.71502671</v>
      </c>
      <c r="O89" s="1">
        <f t="shared" si="4"/>
        <v>37.14119793</v>
      </c>
      <c r="P89" s="4">
        <f t="shared" si="5"/>
        <v>-0.04030596736</v>
      </c>
    </row>
    <row r="90" ht="15.75" customHeight="1">
      <c r="A90" s="3">
        <v>41726.0</v>
      </c>
      <c r="B90" s="1">
        <v>2014.0</v>
      </c>
      <c r="C90" s="1">
        <v>3.0</v>
      </c>
      <c r="D90" s="1" t="s">
        <v>19</v>
      </c>
      <c r="E90" s="1">
        <v>276174.76932028367</v>
      </c>
      <c r="F90" s="1">
        <v>271550.89558082254</v>
      </c>
      <c r="G90" s="1">
        <v>8130.0</v>
      </c>
      <c r="H90" s="1">
        <v>33.97</v>
      </c>
      <c r="I90" s="1">
        <v>33.4</v>
      </c>
      <c r="J90" s="1">
        <v>0.57</v>
      </c>
      <c r="K90" s="1">
        <v>1.67</v>
      </c>
      <c r="L90" s="1">
        <f t="shared" si="1"/>
        <v>4623.873739</v>
      </c>
      <c r="M90" s="1" t="str">
        <f t="shared" si="2"/>
        <v>Regular</v>
      </c>
      <c r="N90" s="1">
        <f t="shared" si="3"/>
        <v>33.96983632</v>
      </c>
      <c r="O90" s="1">
        <f t="shared" si="4"/>
        <v>37.14402475</v>
      </c>
      <c r="P90" s="4">
        <f t="shared" si="5"/>
        <v>-0.04034188118</v>
      </c>
    </row>
    <row r="91" ht="15.75" customHeight="1">
      <c r="A91" s="3">
        <v>41727.0</v>
      </c>
      <c r="B91" s="1">
        <v>2014.0</v>
      </c>
      <c r="C91" s="1">
        <v>3.0</v>
      </c>
      <c r="D91" s="1" t="s">
        <v>19</v>
      </c>
      <c r="E91" s="1">
        <v>357369.2669406512</v>
      </c>
      <c r="F91" s="1">
        <v>352250.83007461776</v>
      </c>
      <c r="G91" s="1">
        <v>10518.0</v>
      </c>
      <c r="H91" s="1">
        <v>33.98</v>
      </c>
      <c r="I91" s="1">
        <v>33.49</v>
      </c>
      <c r="J91" s="1">
        <v>0.49</v>
      </c>
      <c r="K91" s="1">
        <v>1.43</v>
      </c>
      <c r="L91" s="1">
        <f t="shared" si="1"/>
        <v>5118.436866</v>
      </c>
      <c r="M91" s="1" t="str">
        <f t="shared" si="2"/>
        <v>Regular</v>
      </c>
      <c r="N91" s="1">
        <f t="shared" si="3"/>
        <v>33.97692213</v>
      </c>
      <c r="O91" s="1">
        <f t="shared" si="4"/>
        <v>37.15045295</v>
      </c>
      <c r="P91" s="4">
        <f t="shared" si="5"/>
        <v>-0.0404351507</v>
      </c>
    </row>
    <row r="92" ht="15.75" customHeight="1">
      <c r="A92" s="3">
        <v>41728.0</v>
      </c>
      <c r="B92" s="1">
        <v>2014.0</v>
      </c>
      <c r="C92" s="1">
        <v>3.0</v>
      </c>
      <c r="D92" s="1" t="s">
        <v>19</v>
      </c>
      <c r="E92" s="1">
        <v>163865.4902727038</v>
      </c>
      <c r="F92" s="1">
        <v>160525.42687771353</v>
      </c>
      <c r="G92" s="1">
        <v>4791.0</v>
      </c>
      <c r="H92" s="1">
        <v>34.2</v>
      </c>
      <c r="I92" s="1">
        <v>33.51</v>
      </c>
      <c r="J92" s="1">
        <v>0.7</v>
      </c>
      <c r="K92" s="1">
        <v>2.04</v>
      </c>
      <c r="L92" s="1">
        <f t="shared" si="1"/>
        <v>3340.063395</v>
      </c>
      <c r="M92" s="1" t="str">
        <f t="shared" si="2"/>
        <v>Regular</v>
      </c>
      <c r="N92" s="1">
        <f t="shared" si="3"/>
        <v>34.20277401</v>
      </c>
      <c r="O92" s="1">
        <f t="shared" si="4"/>
        <v>37.1586035</v>
      </c>
      <c r="P92" s="4">
        <f t="shared" si="5"/>
        <v>-0.04055116713</v>
      </c>
    </row>
    <row r="93" ht="15.75" customHeight="1">
      <c r="A93" s="3">
        <v>41729.0</v>
      </c>
      <c r="B93" s="1">
        <v>2014.0</v>
      </c>
      <c r="C93" s="1">
        <v>3.0</v>
      </c>
      <c r="D93" s="1" t="s">
        <v>19</v>
      </c>
      <c r="E93" s="1">
        <v>190719.6145286</v>
      </c>
      <c r="F93" s="1">
        <v>187072.5952299383</v>
      </c>
      <c r="G93" s="1">
        <v>5583.0</v>
      </c>
      <c r="H93" s="1">
        <v>34.16</v>
      </c>
      <c r="I93" s="1">
        <v>33.51</v>
      </c>
      <c r="J93" s="1">
        <v>0.65</v>
      </c>
      <c r="K93" s="1">
        <v>1.91</v>
      </c>
      <c r="L93" s="1">
        <f t="shared" si="1"/>
        <v>3647.019299</v>
      </c>
      <c r="M93" s="1" t="str">
        <f t="shared" si="2"/>
        <v>Regular</v>
      </c>
      <c r="N93" s="1">
        <f t="shared" si="3"/>
        <v>34.16077638</v>
      </c>
      <c r="O93" s="1">
        <f t="shared" si="4"/>
        <v>37.1623126</v>
      </c>
      <c r="P93" s="4">
        <f t="shared" si="5"/>
        <v>-0.04061042245</v>
      </c>
    </row>
    <row r="94" ht="15.75" customHeight="1">
      <c r="A94" s="3">
        <v>41730.0</v>
      </c>
      <c r="B94" s="1">
        <v>2014.0</v>
      </c>
      <c r="C94" s="1">
        <v>4.0</v>
      </c>
      <c r="D94" s="1" t="s">
        <v>20</v>
      </c>
      <c r="E94" s="1">
        <v>244535.20522546367</v>
      </c>
      <c r="F94" s="1">
        <v>239700.6847975987</v>
      </c>
      <c r="G94" s="1">
        <v>7155.0</v>
      </c>
      <c r="H94" s="1">
        <v>34.18</v>
      </c>
      <c r="I94" s="1">
        <v>33.5</v>
      </c>
      <c r="J94" s="1">
        <v>0.68</v>
      </c>
      <c r="K94" s="1">
        <v>1.98</v>
      </c>
      <c r="L94" s="1">
        <f t="shared" si="1"/>
        <v>4834.520428</v>
      </c>
      <c r="M94" s="1" t="str">
        <f t="shared" si="2"/>
        <v>Regular</v>
      </c>
      <c r="N94" s="1">
        <f t="shared" si="3"/>
        <v>34.17682812</v>
      </c>
      <c r="O94" s="1">
        <f t="shared" si="4"/>
        <v>37.16664208</v>
      </c>
      <c r="P94" s="4">
        <f t="shared" si="5"/>
        <v>-0.04067810545</v>
      </c>
    </row>
    <row r="95" ht="15.75" customHeight="1">
      <c r="A95" s="3">
        <v>41731.0</v>
      </c>
      <c r="B95" s="1">
        <v>2014.0</v>
      </c>
      <c r="C95" s="1">
        <v>4.0</v>
      </c>
      <c r="D95" s="1" t="s">
        <v>20</v>
      </c>
      <c r="E95" s="1">
        <v>155620.50378882745</v>
      </c>
      <c r="F95" s="1">
        <v>153366.01881055222</v>
      </c>
      <c r="G95" s="1">
        <v>4575.0</v>
      </c>
      <c r="H95" s="1">
        <v>34.02</v>
      </c>
      <c r="I95" s="1">
        <v>33.52</v>
      </c>
      <c r="J95" s="1">
        <v>0.49</v>
      </c>
      <c r="K95" s="1">
        <v>1.45</v>
      </c>
      <c r="L95" s="1">
        <f t="shared" si="1"/>
        <v>2254.484978</v>
      </c>
      <c r="M95" s="1" t="str">
        <f t="shared" si="2"/>
        <v>Regular</v>
      </c>
      <c r="N95" s="1">
        <f t="shared" si="3"/>
        <v>34.01541066</v>
      </c>
      <c r="O95" s="1">
        <f t="shared" si="4"/>
        <v>37.17221535</v>
      </c>
      <c r="P95" s="4">
        <f t="shared" si="5"/>
        <v>-0.04076605393</v>
      </c>
    </row>
    <row r="96" ht="15.75" customHeight="1">
      <c r="A96" s="3">
        <v>41732.0</v>
      </c>
      <c r="B96" s="1">
        <v>2014.0</v>
      </c>
      <c r="C96" s="1">
        <v>4.0</v>
      </c>
      <c r="D96" s="1" t="s">
        <v>20</v>
      </c>
      <c r="E96" s="1">
        <v>136001.97816007744</v>
      </c>
      <c r="F96" s="1">
        <v>134523.06863372037</v>
      </c>
      <c r="G96" s="1">
        <v>3997.0</v>
      </c>
      <c r="H96" s="1">
        <v>34.03</v>
      </c>
      <c r="I96" s="1">
        <v>33.66</v>
      </c>
      <c r="J96" s="1">
        <v>0.37</v>
      </c>
      <c r="K96" s="1">
        <v>1.09</v>
      </c>
      <c r="L96" s="1">
        <f t="shared" si="1"/>
        <v>1478.909526</v>
      </c>
      <c r="M96" s="1" t="str">
        <f t="shared" si="2"/>
        <v>Regular</v>
      </c>
      <c r="N96" s="1">
        <f t="shared" si="3"/>
        <v>34.02601405</v>
      </c>
      <c r="O96" s="1">
        <f t="shared" si="4"/>
        <v>37.17576696</v>
      </c>
      <c r="P96" s="4">
        <f t="shared" si="5"/>
        <v>-0.04081726082</v>
      </c>
    </row>
    <row r="97" ht="15.75" customHeight="1">
      <c r="A97" s="3">
        <v>41733.0</v>
      </c>
      <c r="B97" s="1">
        <v>2014.0</v>
      </c>
      <c r="C97" s="1">
        <v>4.0</v>
      </c>
      <c r="D97" s="1" t="s">
        <v>20</v>
      </c>
      <c r="E97" s="1">
        <v>190559.88751276743</v>
      </c>
      <c r="F97" s="1">
        <v>187742.30001175258</v>
      </c>
      <c r="G97" s="1">
        <v>5558.0</v>
      </c>
      <c r="H97" s="1">
        <v>34.29</v>
      </c>
      <c r="I97" s="1">
        <v>33.78</v>
      </c>
      <c r="J97" s="1">
        <v>0.51</v>
      </c>
      <c r="K97" s="1">
        <v>1.48</v>
      </c>
      <c r="L97" s="1">
        <f t="shared" si="1"/>
        <v>2817.587501</v>
      </c>
      <c r="M97" s="1" t="str">
        <f t="shared" si="2"/>
        <v>Regular</v>
      </c>
      <c r="N97" s="1">
        <f t="shared" si="3"/>
        <v>34.28569405</v>
      </c>
      <c r="O97" s="1">
        <f t="shared" si="4"/>
        <v>37.17876203</v>
      </c>
      <c r="P97" s="4">
        <f t="shared" si="5"/>
        <v>-0.04085916145</v>
      </c>
    </row>
    <row r="98" ht="15.75" customHeight="1">
      <c r="A98" s="3">
        <v>41734.0</v>
      </c>
      <c r="B98" s="1">
        <v>2014.0</v>
      </c>
      <c r="C98" s="1">
        <v>4.0</v>
      </c>
      <c r="D98" s="1" t="s">
        <v>20</v>
      </c>
      <c r="E98" s="1">
        <v>217110.50252912124</v>
      </c>
      <c r="F98" s="1">
        <v>213540.73418419377</v>
      </c>
      <c r="G98" s="1">
        <v>6320.0</v>
      </c>
      <c r="H98" s="1">
        <v>34.35</v>
      </c>
      <c r="I98" s="1">
        <v>33.79</v>
      </c>
      <c r="J98" s="1">
        <v>0.56</v>
      </c>
      <c r="K98" s="1">
        <v>1.64</v>
      </c>
      <c r="L98" s="1">
        <f t="shared" si="1"/>
        <v>3569.768345</v>
      </c>
      <c r="M98" s="1" t="str">
        <f t="shared" si="2"/>
        <v>Regular</v>
      </c>
      <c r="N98" s="1">
        <f t="shared" si="3"/>
        <v>34.35292762</v>
      </c>
      <c r="O98" s="1">
        <f t="shared" si="4"/>
        <v>37.18278987</v>
      </c>
      <c r="P98" s="4">
        <f t="shared" si="5"/>
        <v>-0.04092243291</v>
      </c>
    </row>
    <row r="99" ht="15.75" customHeight="1">
      <c r="A99" s="3">
        <v>41735.0</v>
      </c>
      <c r="B99" s="1">
        <v>2014.0</v>
      </c>
      <c r="C99" s="1">
        <v>4.0</v>
      </c>
      <c r="D99" s="1" t="s">
        <v>20</v>
      </c>
      <c r="E99" s="1">
        <v>119190.09998255635</v>
      </c>
      <c r="F99" s="1">
        <v>116856.31461341622</v>
      </c>
      <c r="G99" s="1">
        <v>3447.0</v>
      </c>
      <c r="H99" s="1">
        <v>34.58</v>
      </c>
      <c r="I99" s="1">
        <v>33.9</v>
      </c>
      <c r="J99" s="1">
        <v>0.68</v>
      </c>
      <c r="K99" s="1">
        <v>1.96</v>
      </c>
      <c r="L99" s="1">
        <f t="shared" si="1"/>
        <v>2333.785369</v>
      </c>
      <c r="M99" s="1" t="str">
        <f t="shared" si="2"/>
        <v>Regular</v>
      </c>
      <c r="N99" s="1">
        <f t="shared" si="3"/>
        <v>34.57792283</v>
      </c>
      <c r="O99" s="1">
        <f t="shared" si="4"/>
        <v>37.18736895</v>
      </c>
      <c r="P99" s="4">
        <f t="shared" si="5"/>
        <v>-0.04099684407</v>
      </c>
    </row>
    <row r="100" ht="15.75" customHeight="1">
      <c r="A100" s="3">
        <v>41736.0</v>
      </c>
      <c r="B100" s="1">
        <v>2014.0</v>
      </c>
      <c r="C100" s="1">
        <v>4.0</v>
      </c>
      <c r="D100" s="1" t="s">
        <v>20</v>
      </c>
      <c r="E100" s="1">
        <v>131910.19745153244</v>
      </c>
      <c r="F100" s="1">
        <v>130784.44470906522</v>
      </c>
      <c r="G100" s="1">
        <v>3854.0</v>
      </c>
      <c r="H100" s="1">
        <v>34.23</v>
      </c>
      <c r="I100" s="1">
        <v>33.93</v>
      </c>
      <c r="J100" s="1">
        <v>0.29</v>
      </c>
      <c r="K100" s="1">
        <v>0.85</v>
      </c>
      <c r="L100" s="1">
        <f t="shared" si="1"/>
        <v>1125.752742</v>
      </c>
      <c r="M100" s="1" t="str">
        <f t="shared" si="2"/>
        <v>Regular</v>
      </c>
      <c r="N100" s="1">
        <f t="shared" si="3"/>
        <v>34.22682861</v>
      </c>
      <c r="O100" s="1">
        <f t="shared" si="4"/>
        <v>37.1897886</v>
      </c>
      <c r="P100" s="4">
        <f t="shared" si="5"/>
        <v>-0.04104001307</v>
      </c>
    </row>
    <row r="101" ht="15.75" customHeight="1">
      <c r="A101" s="3">
        <v>41737.0</v>
      </c>
      <c r="B101" s="1">
        <v>2014.0</v>
      </c>
      <c r="C101" s="1">
        <v>4.0</v>
      </c>
      <c r="D101" s="1" t="s">
        <v>20</v>
      </c>
      <c r="E101" s="1">
        <v>118921.30767625879</v>
      </c>
      <c r="F101" s="1">
        <v>115305.80518544574</v>
      </c>
      <c r="G101" s="1">
        <v>3394.0</v>
      </c>
      <c r="H101" s="1">
        <v>35.04</v>
      </c>
      <c r="I101" s="1">
        <v>33.97</v>
      </c>
      <c r="J101" s="1">
        <v>1.07</v>
      </c>
      <c r="K101" s="1">
        <v>3.04</v>
      </c>
      <c r="L101" s="1">
        <f t="shared" si="1"/>
        <v>3615.502491</v>
      </c>
      <c r="M101" s="1" t="str">
        <f t="shared" si="2"/>
        <v>Regular</v>
      </c>
      <c r="N101" s="1">
        <f t="shared" si="3"/>
        <v>35.03868818</v>
      </c>
      <c r="O101" s="1">
        <f t="shared" si="4"/>
        <v>37.19247028</v>
      </c>
      <c r="P101" s="4">
        <f t="shared" si="5"/>
        <v>-0.04107914217</v>
      </c>
    </row>
    <row r="102" ht="15.75" customHeight="1">
      <c r="A102" s="3">
        <v>41738.0</v>
      </c>
      <c r="B102" s="1">
        <v>2014.0</v>
      </c>
      <c r="C102" s="1">
        <v>4.0</v>
      </c>
      <c r="D102" s="1" t="s">
        <v>20</v>
      </c>
      <c r="E102" s="1">
        <v>124828.28283680881</v>
      </c>
      <c r="F102" s="1">
        <v>121264.70311816283</v>
      </c>
      <c r="G102" s="1">
        <v>3563.0</v>
      </c>
      <c r="H102" s="1">
        <v>35.03</v>
      </c>
      <c r="I102" s="1">
        <v>34.03</v>
      </c>
      <c r="J102" s="1">
        <v>1.0</v>
      </c>
      <c r="K102" s="1">
        <v>2.85</v>
      </c>
      <c r="L102" s="1">
        <f t="shared" si="1"/>
        <v>3563.579719</v>
      </c>
      <c r="M102" s="1" t="str">
        <f t="shared" si="2"/>
        <v>Regular</v>
      </c>
      <c r="N102" s="1">
        <f t="shared" si="3"/>
        <v>35.03460085</v>
      </c>
      <c r="O102" s="1">
        <f t="shared" si="4"/>
        <v>37.19480745</v>
      </c>
      <c r="P102" s="4">
        <f t="shared" si="5"/>
        <v>-0.04113004342</v>
      </c>
    </row>
    <row r="103" ht="15.75" customHeight="1">
      <c r="A103" s="3">
        <v>41739.0</v>
      </c>
      <c r="B103" s="1">
        <v>2014.0</v>
      </c>
      <c r="C103" s="1">
        <v>4.0</v>
      </c>
      <c r="D103" s="1" t="s">
        <v>20</v>
      </c>
      <c r="E103" s="1">
        <v>179326.49022809637</v>
      </c>
      <c r="F103" s="1">
        <v>183278.50242698644</v>
      </c>
      <c r="G103" s="1">
        <v>5380.0</v>
      </c>
      <c r="H103" s="1">
        <v>33.33</v>
      </c>
      <c r="I103" s="1">
        <v>34.07</v>
      </c>
      <c r="J103" s="1">
        <v>-0.73</v>
      </c>
      <c r="K103" s="1">
        <v>-2.2</v>
      </c>
      <c r="L103" s="1">
        <f t="shared" si="1"/>
        <v>-3952.012199</v>
      </c>
      <c r="M103" s="1" t="str">
        <f t="shared" si="2"/>
        <v>ON SALE</v>
      </c>
      <c r="N103" s="1">
        <f t="shared" si="3"/>
        <v>33.33206138</v>
      </c>
      <c r="O103" s="1">
        <f t="shared" si="4"/>
        <v>37.19721812</v>
      </c>
      <c r="P103" s="4">
        <f t="shared" si="5"/>
        <v>-0.04118216375</v>
      </c>
    </row>
    <row r="104" ht="15.75" customHeight="1">
      <c r="A104" s="3">
        <v>41740.0</v>
      </c>
      <c r="B104" s="1">
        <v>2014.0</v>
      </c>
      <c r="C104" s="1">
        <v>4.0</v>
      </c>
      <c r="D104" s="1" t="s">
        <v>20</v>
      </c>
      <c r="E104" s="1">
        <v>318949.81705616</v>
      </c>
      <c r="F104" s="1">
        <v>326322.52601226023</v>
      </c>
      <c r="G104" s="1">
        <v>9573.0</v>
      </c>
      <c r="H104" s="1">
        <v>33.32</v>
      </c>
      <c r="I104" s="1">
        <v>34.09</v>
      </c>
      <c r="J104" s="1">
        <v>-0.77</v>
      </c>
      <c r="K104" s="1">
        <v>-2.31</v>
      </c>
      <c r="L104" s="1">
        <f t="shared" si="1"/>
        <v>-7372.708956</v>
      </c>
      <c r="M104" s="1" t="str">
        <f t="shared" si="2"/>
        <v>ON SALE</v>
      </c>
      <c r="N104" s="1">
        <f t="shared" si="3"/>
        <v>33.31764515</v>
      </c>
      <c r="O104" s="1">
        <f t="shared" si="4"/>
        <v>37.20082798</v>
      </c>
      <c r="P104" s="4">
        <f t="shared" si="5"/>
        <v>-0.04120275796</v>
      </c>
    </row>
    <row r="105" ht="15.75" customHeight="1">
      <c r="A105" s="3">
        <v>41741.0</v>
      </c>
      <c r="B105" s="1">
        <v>2014.0</v>
      </c>
      <c r="C105" s="1">
        <v>4.0</v>
      </c>
      <c r="D105" s="1" t="s">
        <v>20</v>
      </c>
      <c r="E105" s="1">
        <v>375031.109322689</v>
      </c>
      <c r="F105" s="1">
        <v>383727.1940129243</v>
      </c>
      <c r="G105" s="1">
        <v>11250.0</v>
      </c>
      <c r="H105" s="1">
        <v>33.34</v>
      </c>
      <c r="I105" s="1">
        <v>34.11</v>
      </c>
      <c r="J105" s="1">
        <v>-0.77</v>
      </c>
      <c r="K105" s="1">
        <v>-2.32</v>
      </c>
      <c r="L105" s="1">
        <f t="shared" si="1"/>
        <v>-8696.08469</v>
      </c>
      <c r="M105" s="1" t="str">
        <f t="shared" si="2"/>
        <v>ON SALE</v>
      </c>
      <c r="N105" s="1">
        <f t="shared" si="3"/>
        <v>33.33609861</v>
      </c>
      <c r="O105" s="1">
        <f t="shared" si="4"/>
        <v>37.20722837</v>
      </c>
      <c r="P105" s="4">
        <f t="shared" si="5"/>
        <v>-0.04123743093</v>
      </c>
    </row>
    <row r="106" ht="15.75" customHeight="1">
      <c r="A106" s="3">
        <v>41742.0</v>
      </c>
      <c r="B106" s="1">
        <v>2014.0</v>
      </c>
      <c r="C106" s="1">
        <v>4.0</v>
      </c>
      <c r="D106" s="1" t="s">
        <v>20</v>
      </c>
      <c r="E106" s="1">
        <v>166393.54070527272</v>
      </c>
      <c r="F106" s="1">
        <v>170061.86414652268</v>
      </c>
      <c r="G106" s="1">
        <v>4990.0</v>
      </c>
      <c r="H106" s="1">
        <v>33.35</v>
      </c>
      <c r="I106" s="1">
        <v>34.08</v>
      </c>
      <c r="J106" s="1">
        <v>-0.74</v>
      </c>
      <c r="K106" s="1">
        <v>-2.2</v>
      </c>
      <c r="L106" s="1">
        <f t="shared" si="1"/>
        <v>-3668.323441</v>
      </c>
      <c r="M106" s="1" t="str">
        <f t="shared" si="2"/>
        <v>ON SALE</v>
      </c>
      <c r="N106" s="1">
        <f t="shared" si="3"/>
        <v>33.34539894</v>
      </c>
      <c r="O106" s="1">
        <f t="shared" si="4"/>
        <v>37.21473215</v>
      </c>
      <c r="P106" s="4">
        <f t="shared" si="5"/>
        <v>-0.04127820813</v>
      </c>
    </row>
    <row r="107" ht="15.75" customHeight="1">
      <c r="A107" s="3">
        <v>41743.0</v>
      </c>
      <c r="B107" s="1">
        <v>2014.0</v>
      </c>
      <c r="C107" s="1">
        <v>4.0</v>
      </c>
      <c r="D107" s="1" t="s">
        <v>20</v>
      </c>
      <c r="E107" s="1">
        <v>193652.32776782895</v>
      </c>
      <c r="F107" s="1">
        <v>198212.06872996836</v>
      </c>
      <c r="G107" s="1">
        <v>5810.0</v>
      </c>
      <c r="H107" s="1">
        <v>33.33</v>
      </c>
      <c r="I107" s="1">
        <v>34.12</v>
      </c>
      <c r="J107" s="1">
        <v>-0.78</v>
      </c>
      <c r="K107" s="1">
        <v>-2.35</v>
      </c>
      <c r="L107" s="1">
        <f t="shared" si="1"/>
        <v>-4559.740962</v>
      </c>
      <c r="M107" s="1" t="str">
        <f t="shared" si="2"/>
        <v>ON SALE</v>
      </c>
      <c r="N107" s="1">
        <f t="shared" si="3"/>
        <v>33.33086536</v>
      </c>
      <c r="O107" s="1">
        <f t="shared" si="4"/>
        <v>37.21810285</v>
      </c>
      <c r="P107" s="4">
        <f t="shared" si="5"/>
        <v>-0.04129750458</v>
      </c>
    </row>
    <row r="108" ht="15.75" customHeight="1">
      <c r="A108" s="3">
        <v>41744.0</v>
      </c>
      <c r="B108" s="1">
        <v>2014.0</v>
      </c>
      <c r="C108" s="1">
        <v>4.0</v>
      </c>
      <c r="D108" s="1" t="s">
        <v>20</v>
      </c>
      <c r="E108" s="1">
        <v>249805.51721349137</v>
      </c>
      <c r="F108" s="1">
        <v>255956.65403528852</v>
      </c>
      <c r="G108" s="1">
        <v>7497.0</v>
      </c>
      <c r="H108" s="1">
        <v>33.32</v>
      </c>
      <c r="I108" s="1">
        <v>34.14</v>
      </c>
      <c r="J108" s="1">
        <v>-0.82</v>
      </c>
      <c r="K108" s="1">
        <v>-2.46</v>
      </c>
      <c r="L108" s="1">
        <f t="shared" si="1"/>
        <v>-6151.136822</v>
      </c>
      <c r="M108" s="1" t="str">
        <f t="shared" si="2"/>
        <v>ON SALE</v>
      </c>
      <c r="N108" s="1">
        <f t="shared" si="3"/>
        <v>33.32073059</v>
      </c>
      <c r="O108" s="1">
        <f t="shared" si="4"/>
        <v>37.22199253</v>
      </c>
      <c r="P108" s="4">
        <f t="shared" si="5"/>
        <v>-0.04131825746</v>
      </c>
    </row>
    <row r="109" ht="15.75" customHeight="1">
      <c r="A109" s="3">
        <v>41745.0</v>
      </c>
      <c r="B109" s="1">
        <v>2014.0</v>
      </c>
      <c r="C109" s="1">
        <v>4.0</v>
      </c>
      <c r="D109" s="1" t="s">
        <v>20</v>
      </c>
      <c r="E109" s="1">
        <v>294023.41088805016</v>
      </c>
      <c r="F109" s="1">
        <v>301522.3522543714</v>
      </c>
      <c r="G109" s="1">
        <v>8821.0</v>
      </c>
      <c r="H109" s="1">
        <v>33.33</v>
      </c>
      <c r="I109" s="1">
        <v>34.18</v>
      </c>
      <c r="J109" s="1">
        <v>-0.85</v>
      </c>
      <c r="K109" s="1">
        <v>-2.55</v>
      </c>
      <c r="L109" s="1">
        <f t="shared" si="1"/>
        <v>-7498.941366</v>
      </c>
      <c r="M109" s="1" t="str">
        <f t="shared" si="2"/>
        <v>ON SALE</v>
      </c>
      <c r="N109" s="1">
        <f t="shared" si="3"/>
        <v>33.33220847</v>
      </c>
      <c r="O109" s="1">
        <f t="shared" si="4"/>
        <v>37.2269847</v>
      </c>
      <c r="P109" s="4">
        <f t="shared" si="5"/>
        <v>-0.04134347212</v>
      </c>
    </row>
    <row r="110" ht="15.75" customHeight="1">
      <c r="A110" s="3">
        <v>41746.0</v>
      </c>
      <c r="B110" s="1">
        <v>2014.0</v>
      </c>
      <c r="C110" s="1">
        <v>4.0</v>
      </c>
      <c r="D110" s="1" t="s">
        <v>20</v>
      </c>
      <c r="E110" s="1">
        <v>612236.0057972377</v>
      </c>
      <c r="F110" s="1">
        <v>627927.7586733897</v>
      </c>
      <c r="G110" s="1">
        <v>18366.0</v>
      </c>
      <c r="H110" s="1">
        <v>33.34</v>
      </c>
      <c r="I110" s="1">
        <v>34.19</v>
      </c>
      <c r="J110" s="1">
        <v>-0.85</v>
      </c>
      <c r="K110" s="1">
        <v>-2.56</v>
      </c>
      <c r="L110" s="1">
        <f t="shared" si="1"/>
        <v>-15691.75288</v>
      </c>
      <c r="M110" s="1" t="str">
        <f t="shared" si="2"/>
        <v>ON SALE</v>
      </c>
      <c r="N110" s="1">
        <f t="shared" si="3"/>
        <v>33.33529379</v>
      </c>
      <c r="O110" s="1">
        <f t="shared" si="4"/>
        <v>37.2328007</v>
      </c>
      <c r="P110" s="4">
        <f t="shared" si="5"/>
        <v>-0.04137167905</v>
      </c>
    </row>
    <row r="111" ht="15.75" customHeight="1">
      <c r="A111" s="3">
        <v>41747.0</v>
      </c>
      <c r="B111" s="1">
        <v>2014.0</v>
      </c>
      <c r="C111" s="1">
        <v>4.0</v>
      </c>
      <c r="D111" s="1" t="s">
        <v>20</v>
      </c>
      <c r="E111" s="1">
        <v>464815.51786854694</v>
      </c>
      <c r="F111" s="1">
        <v>476692.5436944089</v>
      </c>
      <c r="G111" s="1">
        <v>13940.0</v>
      </c>
      <c r="H111" s="1">
        <v>33.34</v>
      </c>
      <c r="I111" s="1">
        <v>34.2</v>
      </c>
      <c r="J111" s="1">
        <v>-0.85</v>
      </c>
      <c r="K111" s="1">
        <v>-2.56</v>
      </c>
      <c r="L111" s="1">
        <f t="shared" si="1"/>
        <v>-11877.02583</v>
      </c>
      <c r="M111" s="1" t="str">
        <f t="shared" si="2"/>
        <v>ON SALE</v>
      </c>
      <c r="N111" s="1">
        <f t="shared" si="3"/>
        <v>33.34401132</v>
      </c>
      <c r="O111" s="1">
        <f t="shared" si="4"/>
        <v>37.24495227</v>
      </c>
      <c r="P111" s="4">
        <f t="shared" si="5"/>
        <v>-0.04143026937</v>
      </c>
    </row>
    <row r="112" ht="15.75" customHeight="1">
      <c r="A112" s="3">
        <v>41748.0</v>
      </c>
      <c r="B112" s="1">
        <v>2014.0</v>
      </c>
      <c r="C112" s="1">
        <v>4.0</v>
      </c>
      <c r="D112" s="1" t="s">
        <v>20</v>
      </c>
      <c r="E112" s="1">
        <v>360480.94044953777</v>
      </c>
      <c r="F112" s="1">
        <v>369765.6127632247</v>
      </c>
      <c r="G112" s="1">
        <v>10814.0</v>
      </c>
      <c r="H112" s="1">
        <v>33.33</v>
      </c>
      <c r="I112" s="1">
        <v>34.19</v>
      </c>
      <c r="J112" s="1">
        <v>-0.86</v>
      </c>
      <c r="K112" s="1">
        <v>-2.58</v>
      </c>
      <c r="L112" s="1">
        <f t="shared" si="1"/>
        <v>-9284.672314</v>
      </c>
      <c r="M112" s="1" t="str">
        <f t="shared" si="2"/>
        <v>ON SALE</v>
      </c>
      <c r="N112" s="1">
        <f t="shared" si="3"/>
        <v>33.33465327</v>
      </c>
      <c r="O112" s="1">
        <f t="shared" si="4"/>
        <v>37.25422118</v>
      </c>
      <c r="P112" s="4">
        <f t="shared" si="5"/>
        <v>-0.04147526514</v>
      </c>
    </row>
    <row r="113" ht="15.75" customHeight="1">
      <c r="A113" s="3">
        <v>41749.0</v>
      </c>
      <c r="B113" s="1">
        <v>2014.0</v>
      </c>
      <c r="C113" s="1">
        <v>4.0</v>
      </c>
      <c r="D113" s="1" t="s">
        <v>20</v>
      </c>
      <c r="E113" s="1">
        <v>114279.57725376953</v>
      </c>
      <c r="F113" s="1">
        <v>117190.8261541667</v>
      </c>
      <c r="G113" s="1">
        <v>3429.0</v>
      </c>
      <c r="H113" s="1">
        <v>33.33</v>
      </c>
      <c r="I113" s="1">
        <v>34.18</v>
      </c>
      <c r="J113" s="1">
        <v>-0.85</v>
      </c>
      <c r="K113" s="1">
        <v>-2.55</v>
      </c>
      <c r="L113" s="1">
        <f t="shared" si="1"/>
        <v>-2911.2489</v>
      </c>
      <c r="M113" s="1" t="str">
        <f t="shared" si="2"/>
        <v>ON SALE</v>
      </c>
      <c r="N113" s="1">
        <f t="shared" si="3"/>
        <v>33.32737744</v>
      </c>
      <c r="O113" s="1">
        <f t="shared" si="4"/>
        <v>37.26145706</v>
      </c>
      <c r="P113" s="4">
        <f t="shared" si="5"/>
        <v>-0.04150988712</v>
      </c>
    </row>
    <row r="114" ht="15.75" customHeight="1">
      <c r="A114" s="3">
        <v>41750.0</v>
      </c>
      <c r="B114" s="1">
        <v>2014.0</v>
      </c>
      <c r="C114" s="1">
        <v>4.0</v>
      </c>
      <c r="D114" s="1" t="s">
        <v>20</v>
      </c>
      <c r="E114" s="1">
        <v>161170.82040273017</v>
      </c>
      <c r="F114" s="1">
        <v>165415.08384550374</v>
      </c>
      <c r="G114" s="1">
        <v>4834.0</v>
      </c>
      <c r="H114" s="1">
        <v>33.34</v>
      </c>
      <c r="I114" s="1">
        <v>34.22</v>
      </c>
      <c r="J114" s="1">
        <v>-0.88</v>
      </c>
      <c r="K114" s="1">
        <v>-2.63</v>
      </c>
      <c r="L114" s="1">
        <f t="shared" si="1"/>
        <v>-4244.263443</v>
      </c>
      <c r="M114" s="1" t="str">
        <f t="shared" si="2"/>
        <v>ON SALE</v>
      </c>
      <c r="N114" s="1">
        <f t="shared" si="3"/>
        <v>33.34108821</v>
      </c>
      <c r="O114" s="1">
        <f t="shared" si="4"/>
        <v>37.26377126</v>
      </c>
      <c r="P114" s="4">
        <f t="shared" si="5"/>
        <v>-0.04152109157</v>
      </c>
    </row>
    <row r="115" ht="15.75" customHeight="1">
      <c r="A115" s="3">
        <v>41751.0</v>
      </c>
      <c r="B115" s="1">
        <v>2014.0</v>
      </c>
      <c r="C115" s="1">
        <v>4.0</v>
      </c>
      <c r="D115" s="1" t="s">
        <v>20</v>
      </c>
      <c r="E115" s="1">
        <v>182483.14649530518</v>
      </c>
      <c r="F115" s="1">
        <v>187344.73717165823</v>
      </c>
      <c r="G115" s="1">
        <v>5475.0</v>
      </c>
      <c r="H115" s="1">
        <v>33.33</v>
      </c>
      <c r="I115" s="1">
        <v>34.22</v>
      </c>
      <c r="J115" s="1">
        <v>-0.89</v>
      </c>
      <c r="K115" s="1">
        <v>-2.66</v>
      </c>
      <c r="L115" s="1">
        <f t="shared" si="1"/>
        <v>-4861.590676</v>
      </c>
      <c r="M115" s="1" t="str">
        <f t="shared" si="2"/>
        <v>ON SALE</v>
      </c>
      <c r="N115" s="1">
        <f t="shared" si="3"/>
        <v>33.33025507</v>
      </c>
      <c r="O115" s="1">
        <f t="shared" si="4"/>
        <v>37.26699439</v>
      </c>
      <c r="P115" s="4">
        <f t="shared" si="5"/>
        <v>-0.04153607257</v>
      </c>
    </row>
    <row r="116" ht="15.75" customHeight="1">
      <c r="A116" s="3">
        <v>41752.0</v>
      </c>
      <c r="B116" s="1">
        <v>2014.0</v>
      </c>
      <c r="C116" s="1">
        <v>4.0</v>
      </c>
      <c r="D116" s="1" t="s">
        <v>20</v>
      </c>
      <c r="E116" s="1">
        <v>109358.41252901952</v>
      </c>
      <c r="F116" s="1">
        <v>106849.89879556595</v>
      </c>
      <c r="G116" s="1">
        <v>3121.0</v>
      </c>
      <c r="H116" s="1">
        <v>35.04</v>
      </c>
      <c r="I116" s="1">
        <v>34.24</v>
      </c>
      <c r="J116" s="1">
        <v>0.8</v>
      </c>
      <c r="K116" s="1">
        <v>2.29</v>
      </c>
      <c r="L116" s="1">
        <f t="shared" si="1"/>
        <v>2508.513733</v>
      </c>
      <c r="M116" s="1" t="str">
        <f t="shared" si="2"/>
        <v>Regular</v>
      </c>
      <c r="N116" s="1">
        <f t="shared" si="3"/>
        <v>35.03954262</v>
      </c>
      <c r="O116" s="1">
        <f t="shared" si="4"/>
        <v>37.2706542</v>
      </c>
      <c r="P116" s="4">
        <f t="shared" si="5"/>
        <v>-0.04155272663</v>
      </c>
    </row>
    <row r="117" ht="15.75" customHeight="1">
      <c r="A117" s="3">
        <v>41753.0</v>
      </c>
      <c r="B117" s="1">
        <v>2014.0</v>
      </c>
      <c r="C117" s="1">
        <v>4.0</v>
      </c>
      <c r="D117" s="1" t="s">
        <v>20</v>
      </c>
      <c r="E117" s="1">
        <v>98430.1141092905</v>
      </c>
      <c r="F117" s="1">
        <v>96197.48223143081</v>
      </c>
      <c r="G117" s="1">
        <v>2809.0</v>
      </c>
      <c r="H117" s="1">
        <v>35.04</v>
      </c>
      <c r="I117" s="1">
        <v>34.25</v>
      </c>
      <c r="J117" s="1">
        <v>0.79</v>
      </c>
      <c r="K117" s="1">
        <v>2.27</v>
      </c>
      <c r="L117" s="1">
        <f t="shared" si="1"/>
        <v>2232.631878</v>
      </c>
      <c r="M117" s="1" t="str">
        <f t="shared" si="2"/>
        <v>Regular</v>
      </c>
      <c r="N117" s="1">
        <f t="shared" si="3"/>
        <v>35.04098046</v>
      </c>
      <c r="O117" s="1">
        <f t="shared" si="4"/>
        <v>37.27273237</v>
      </c>
      <c r="P117" s="4">
        <f t="shared" si="5"/>
        <v>-0.0415959688</v>
      </c>
    </row>
    <row r="118" ht="15.75" customHeight="1">
      <c r="A118" s="3">
        <v>41754.0</v>
      </c>
      <c r="B118" s="1">
        <v>2014.0</v>
      </c>
      <c r="C118" s="1">
        <v>4.0</v>
      </c>
      <c r="D118" s="1" t="s">
        <v>20</v>
      </c>
      <c r="E118" s="1">
        <v>295741.3469618826</v>
      </c>
      <c r="F118" s="1">
        <v>292327.02825568395</v>
      </c>
      <c r="G118" s="1">
        <v>8537.0</v>
      </c>
      <c r="H118" s="1">
        <v>34.64</v>
      </c>
      <c r="I118" s="1">
        <v>34.24</v>
      </c>
      <c r="J118" s="1">
        <v>0.4</v>
      </c>
      <c r="K118" s="1">
        <v>1.15</v>
      </c>
      <c r="L118" s="1">
        <f t="shared" si="1"/>
        <v>3414.318706</v>
      </c>
      <c r="M118" s="1" t="str">
        <f t="shared" si="2"/>
        <v>Regular</v>
      </c>
      <c r="N118" s="1">
        <f t="shared" si="3"/>
        <v>34.64230373</v>
      </c>
      <c r="O118" s="1">
        <f t="shared" si="4"/>
        <v>37.27459882</v>
      </c>
      <c r="P118" s="4">
        <f t="shared" si="5"/>
        <v>-0.04163478473</v>
      </c>
    </row>
    <row r="119" ht="15.75" customHeight="1">
      <c r="A119" s="3">
        <v>41755.0</v>
      </c>
      <c r="B119" s="1">
        <v>2014.0</v>
      </c>
      <c r="C119" s="1">
        <v>4.0</v>
      </c>
      <c r="D119" s="1" t="s">
        <v>20</v>
      </c>
      <c r="E119" s="1">
        <v>285053.9799331276</v>
      </c>
      <c r="F119" s="1">
        <v>281159.581123413</v>
      </c>
      <c r="G119" s="1">
        <v>8209.0</v>
      </c>
      <c r="H119" s="1">
        <v>34.72</v>
      </c>
      <c r="I119" s="1">
        <v>34.25</v>
      </c>
      <c r="J119" s="1">
        <v>0.47</v>
      </c>
      <c r="K119" s="1">
        <v>1.37</v>
      </c>
      <c r="L119" s="1">
        <f t="shared" si="1"/>
        <v>3894.39881</v>
      </c>
      <c r="M119" s="1" t="str">
        <f t="shared" si="2"/>
        <v>Regular</v>
      </c>
      <c r="N119" s="1">
        <f t="shared" si="3"/>
        <v>34.72456815</v>
      </c>
      <c r="O119" s="1">
        <f t="shared" si="4"/>
        <v>37.28029256</v>
      </c>
      <c r="P119" s="4">
        <f t="shared" si="5"/>
        <v>-0.04173144855</v>
      </c>
    </row>
    <row r="120" ht="15.75" customHeight="1">
      <c r="A120" s="3">
        <v>41756.0</v>
      </c>
      <c r="B120" s="1">
        <v>2014.0</v>
      </c>
      <c r="C120" s="1">
        <v>4.0</v>
      </c>
      <c r="D120" s="1" t="s">
        <v>20</v>
      </c>
      <c r="E120" s="1">
        <v>124964.7964680588</v>
      </c>
      <c r="F120" s="1">
        <v>123042.15895289756</v>
      </c>
      <c r="G120" s="1">
        <v>3592.0</v>
      </c>
      <c r="H120" s="1">
        <v>34.79</v>
      </c>
      <c r="I120" s="1">
        <v>34.25</v>
      </c>
      <c r="J120" s="1">
        <v>0.54</v>
      </c>
      <c r="K120" s="1">
        <v>1.54</v>
      </c>
      <c r="L120" s="1">
        <f t="shared" si="1"/>
        <v>1922.637515</v>
      </c>
      <c r="M120" s="1" t="str">
        <f t="shared" si="2"/>
        <v>Regular</v>
      </c>
      <c r="N120" s="1">
        <f t="shared" si="3"/>
        <v>34.78975403</v>
      </c>
      <c r="O120" s="1">
        <f t="shared" si="4"/>
        <v>37.28577364</v>
      </c>
      <c r="P120" s="4">
        <f t="shared" si="5"/>
        <v>-0.04182866787</v>
      </c>
    </row>
    <row r="121" ht="15.75" customHeight="1">
      <c r="A121" s="3">
        <v>41757.0</v>
      </c>
      <c r="B121" s="1">
        <v>2014.0</v>
      </c>
      <c r="C121" s="1">
        <v>4.0</v>
      </c>
      <c r="D121" s="1" t="s">
        <v>20</v>
      </c>
      <c r="E121" s="1">
        <v>124175.8083521588</v>
      </c>
      <c r="F121" s="1">
        <v>122516.06570420253</v>
      </c>
      <c r="G121" s="1">
        <v>3576.0</v>
      </c>
      <c r="H121" s="1">
        <v>34.72</v>
      </c>
      <c r="I121" s="1">
        <v>34.26</v>
      </c>
      <c r="J121" s="1">
        <v>0.46</v>
      </c>
      <c r="K121" s="1">
        <v>1.34</v>
      </c>
      <c r="L121" s="1">
        <f t="shared" si="1"/>
        <v>1659.742648</v>
      </c>
      <c r="M121" s="1" t="str">
        <f t="shared" si="2"/>
        <v>Regular</v>
      </c>
      <c r="N121" s="1">
        <f t="shared" si="3"/>
        <v>34.72477862</v>
      </c>
      <c r="O121" s="1">
        <f t="shared" si="4"/>
        <v>37.28817479</v>
      </c>
      <c r="P121" s="4">
        <f t="shared" si="5"/>
        <v>-0.04187272258</v>
      </c>
    </row>
    <row r="122" ht="15.75" customHeight="1">
      <c r="A122" s="3">
        <v>41758.0</v>
      </c>
      <c r="B122" s="1">
        <v>2014.0</v>
      </c>
      <c r="C122" s="1">
        <v>4.0</v>
      </c>
      <c r="D122" s="1" t="s">
        <v>20</v>
      </c>
      <c r="E122" s="1">
        <v>131842.57163224378</v>
      </c>
      <c r="F122" s="1">
        <v>130405.26385817112</v>
      </c>
      <c r="G122" s="1">
        <v>3807.0</v>
      </c>
      <c r="H122" s="1">
        <v>34.63</v>
      </c>
      <c r="I122" s="1">
        <v>34.25</v>
      </c>
      <c r="J122" s="1">
        <v>0.38</v>
      </c>
      <c r="K122" s="1">
        <v>1.09</v>
      </c>
      <c r="L122" s="1">
        <f t="shared" si="1"/>
        <v>1437.307774</v>
      </c>
      <c r="M122" s="1" t="str">
        <f t="shared" si="2"/>
        <v>Regular</v>
      </c>
      <c r="N122" s="1">
        <f t="shared" si="3"/>
        <v>34.6316185</v>
      </c>
      <c r="O122" s="1">
        <f t="shared" si="4"/>
        <v>37.29056418</v>
      </c>
      <c r="P122" s="4">
        <f t="shared" si="5"/>
        <v>-0.04191502013</v>
      </c>
    </row>
    <row r="123" ht="15.75" customHeight="1">
      <c r="A123" s="3">
        <v>41759.0</v>
      </c>
      <c r="B123" s="1">
        <v>2014.0</v>
      </c>
      <c r="C123" s="1">
        <v>4.0</v>
      </c>
      <c r="D123" s="1" t="s">
        <v>20</v>
      </c>
      <c r="E123" s="1">
        <v>154850.05725768136</v>
      </c>
      <c r="F123" s="1">
        <v>150644.34824066723</v>
      </c>
      <c r="G123" s="1">
        <v>4398.0</v>
      </c>
      <c r="H123" s="1">
        <v>35.21</v>
      </c>
      <c r="I123" s="1">
        <v>34.25</v>
      </c>
      <c r="J123" s="1">
        <v>0.96</v>
      </c>
      <c r="K123" s="1">
        <v>2.72</v>
      </c>
      <c r="L123" s="1">
        <f t="shared" si="1"/>
        <v>4205.709017</v>
      </c>
      <c r="M123" s="1" t="str">
        <f t="shared" si="2"/>
        <v>Regular</v>
      </c>
      <c r="N123" s="1">
        <f t="shared" si="3"/>
        <v>35.20919901</v>
      </c>
      <c r="O123" s="1">
        <f t="shared" si="4"/>
        <v>37.29311759</v>
      </c>
      <c r="P123" s="4">
        <f t="shared" si="5"/>
        <v>-0.04195799497</v>
      </c>
    </row>
    <row r="124" ht="15.75" customHeight="1">
      <c r="A124" s="3">
        <v>41760.0</v>
      </c>
      <c r="B124" s="1">
        <v>2014.0</v>
      </c>
      <c r="C124" s="1">
        <v>5.0</v>
      </c>
      <c r="D124" s="1" t="s">
        <v>21</v>
      </c>
      <c r="E124" s="1">
        <v>180294.26873002757</v>
      </c>
      <c r="F124" s="1">
        <v>175656.65039321326</v>
      </c>
      <c r="G124" s="1">
        <v>5124.0</v>
      </c>
      <c r="H124" s="1">
        <v>35.19</v>
      </c>
      <c r="I124" s="1">
        <v>34.28</v>
      </c>
      <c r="J124" s="1">
        <v>0.91</v>
      </c>
      <c r="K124" s="1">
        <v>2.57</v>
      </c>
      <c r="L124" s="1">
        <f t="shared" si="1"/>
        <v>4637.618337</v>
      </c>
      <c r="M124" s="1" t="str">
        <f t="shared" si="2"/>
        <v>Regular</v>
      </c>
      <c r="N124" s="1">
        <f t="shared" si="3"/>
        <v>35.18623512</v>
      </c>
      <c r="O124" s="1">
        <f t="shared" si="4"/>
        <v>37.29607386</v>
      </c>
      <c r="P124" s="4">
        <f t="shared" si="5"/>
        <v>-0.04202411061</v>
      </c>
    </row>
    <row r="125" ht="15.75" customHeight="1">
      <c r="A125" s="3">
        <v>41761.0</v>
      </c>
      <c r="B125" s="1">
        <v>2014.0</v>
      </c>
      <c r="C125" s="1">
        <v>5.0</v>
      </c>
      <c r="D125" s="1" t="s">
        <v>21</v>
      </c>
      <c r="E125" s="1">
        <v>163849.03582968138</v>
      </c>
      <c r="F125" s="1">
        <v>157300.625596072</v>
      </c>
      <c r="G125" s="1">
        <v>4581.0</v>
      </c>
      <c r="H125" s="1">
        <v>35.77</v>
      </c>
      <c r="I125" s="1">
        <v>34.34</v>
      </c>
      <c r="J125" s="1">
        <v>1.43</v>
      </c>
      <c r="K125" s="1">
        <v>4.0</v>
      </c>
      <c r="L125" s="1">
        <f t="shared" si="1"/>
        <v>6548.410234</v>
      </c>
      <c r="M125" s="1" t="str">
        <f t="shared" si="2"/>
        <v>Regular</v>
      </c>
      <c r="N125" s="1">
        <f t="shared" si="3"/>
        <v>35.76708924</v>
      </c>
      <c r="O125" s="1">
        <f t="shared" si="4"/>
        <v>37.29949337</v>
      </c>
      <c r="P125" s="4">
        <f t="shared" si="5"/>
        <v>-0.04209964695</v>
      </c>
    </row>
    <row r="126" ht="15.75" customHeight="1">
      <c r="A126" s="3">
        <v>41762.0</v>
      </c>
      <c r="B126" s="1">
        <v>2014.0</v>
      </c>
      <c r="C126" s="1">
        <v>5.0</v>
      </c>
      <c r="D126" s="1" t="s">
        <v>21</v>
      </c>
      <c r="E126" s="1">
        <v>131436.79244744137</v>
      </c>
      <c r="F126" s="1">
        <v>127601.94472593981</v>
      </c>
      <c r="G126" s="1">
        <v>3697.0</v>
      </c>
      <c r="H126" s="1">
        <v>35.55</v>
      </c>
      <c r="I126" s="1">
        <v>34.51</v>
      </c>
      <c r="J126" s="1">
        <v>1.04</v>
      </c>
      <c r="K126" s="1">
        <v>2.92</v>
      </c>
      <c r="L126" s="1">
        <f t="shared" si="1"/>
        <v>3834.847722</v>
      </c>
      <c r="M126" s="1" t="str">
        <f t="shared" si="2"/>
        <v>Regular</v>
      </c>
      <c r="N126" s="1">
        <f t="shared" si="3"/>
        <v>35.55228359</v>
      </c>
      <c r="O126" s="1">
        <f t="shared" si="4"/>
        <v>37.30249978</v>
      </c>
      <c r="P126" s="4">
        <f t="shared" si="5"/>
        <v>-0.04218288705</v>
      </c>
    </row>
    <row r="127" ht="15.75" customHeight="1">
      <c r="A127" s="3">
        <v>41763.0</v>
      </c>
      <c r="B127" s="1">
        <v>2014.0</v>
      </c>
      <c r="C127" s="1">
        <v>5.0</v>
      </c>
      <c r="D127" s="1" t="s">
        <v>21</v>
      </c>
      <c r="E127" s="1">
        <v>93082.04395689281</v>
      </c>
      <c r="F127" s="1">
        <v>91601.50654339502</v>
      </c>
      <c r="G127" s="1">
        <v>2642.0</v>
      </c>
      <c r="H127" s="1">
        <v>35.23</v>
      </c>
      <c r="I127" s="1">
        <v>34.67</v>
      </c>
      <c r="J127" s="1">
        <v>0.56</v>
      </c>
      <c r="K127" s="1">
        <v>1.59</v>
      </c>
      <c r="L127" s="1">
        <f t="shared" si="1"/>
        <v>1480.537413</v>
      </c>
      <c r="M127" s="1" t="str">
        <f t="shared" si="2"/>
        <v>Regular</v>
      </c>
      <c r="N127" s="1">
        <f t="shared" si="3"/>
        <v>35.23165933</v>
      </c>
      <c r="O127" s="1">
        <f t="shared" si="4"/>
        <v>37.30478507</v>
      </c>
      <c r="P127" s="4">
        <f t="shared" si="5"/>
        <v>-0.0422409966</v>
      </c>
    </row>
    <row r="128" ht="15.75" customHeight="1">
      <c r="A128" s="3">
        <v>41764.0</v>
      </c>
      <c r="B128" s="1">
        <v>2014.0</v>
      </c>
      <c r="C128" s="1">
        <v>5.0</v>
      </c>
      <c r="D128" s="1" t="s">
        <v>21</v>
      </c>
      <c r="E128" s="1">
        <v>110887.01329721222</v>
      </c>
      <c r="F128" s="1">
        <v>109460.1532226706</v>
      </c>
      <c r="G128" s="1">
        <v>3154.0</v>
      </c>
      <c r="H128" s="1">
        <v>35.16</v>
      </c>
      <c r="I128" s="1">
        <v>34.71</v>
      </c>
      <c r="J128" s="1">
        <v>0.45</v>
      </c>
      <c r="K128" s="1">
        <v>1.29</v>
      </c>
      <c r="L128" s="1">
        <f t="shared" si="1"/>
        <v>1426.860075</v>
      </c>
      <c r="M128" s="1" t="str">
        <f t="shared" si="2"/>
        <v>Regular</v>
      </c>
      <c r="N128" s="1">
        <f t="shared" si="3"/>
        <v>35.1575819</v>
      </c>
      <c r="O128" s="1">
        <f t="shared" si="4"/>
        <v>37.3063289</v>
      </c>
      <c r="P128" s="4">
        <f t="shared" si="5"/>
        <v>-0.04227454887</v>
      </c>
    </row>
    <row r="129" ht="15.75" customHeight="1">
      <c r="A129" s="3">
        <v>41765.0</v>
      </c>
      <c r="B129" s="1">
        <v>2014.0</v>
      </c>
      <c r="C129" s="1">
        <v>5.0</v>
      </c>
      <c r="D129" s="1" t="s">
        <v>21</v>
      </c>
      <c r="E129" s="1">
        <v>119385.57536795686</v>
      </c>
      <c r="F129" s="1">
        <v>115693.10664184783</v>
      </c>
      <c r="G129" s="1">
        <v>3324.0</v>
      </c>
      <c r="H129" s="1">
        <v>35.92</v>
      </c>
      <c r="I129" s="1">
        <v>34.81</v>
      </c>
      <c r="J129" s="1">
        <v>1.11</v>
      </c>
      <c r="K129" s="1">
        <v>3.09</v>
      </c>
      <c r="L129" s="1">
        <f t="shared" si="1"/>
        <v>3692.468726</v>
      </c>
      <c r="M129" s="1" t="str">
        <f t="shared" si="2"/>
        <v>Regular</v>
      </c>
      <c r="N129" s="1">
        <f t="shared" si="3"/>
        <v>35.91623808</v>
      </c>
      <c r="O129" s="1">
        <f t="shared" si="4"/>
        <v>37.30815054</v>
      </c>
      <c r="P129" s="4">
        <f t="shared" si="5"/>
        <v>-0.04231247989</v>
      </c>
    </row>
    <row r="130" ht="15.75" customHeight="1">
      <c r="A130" s="3">
        <v>41766.0</v>
      </c>
      <c r="B130" s="1">
        <v>2014.0</v>
      </c>
      <c r="C130" s="1">
        <v>5.0</v>
      </c>
      <c r="D130" s="1" t="s">
        <v>21</v>
      </c>
      <c r="E130" s="1">
        <v>91719.58937883745</v>
      </c>
      <c r="F130" s="1">
        <v>93157.1705825259</v>
      </c>
      <c r="G130" s="1">
        <v>2677.0</v>
      </c>
      <c r="H130" s="1">
        <v>34.26</v>
      </c>
      <c r="I130" s="1">
        <v>34.8</v>
      </c>
      <c r="J130" s="1">
        <v>-0.54</v>
      </c>
      <c r="K130" s="1">
        <v>-1.57</v>
      </c>
      <c r="L130" s="1">
        <f t="shared" si="1"/>
        <v>-1437.581204</v>
      </c>
      <c r="M130" s="1" t="str">
        <f t="shared" si="2"/>
        <v>ON SALE</v>
      </c>
      <c r="N130" s="1">
        <f t="shared" si="3"/>
        <v>34.26208046</v>
      </c>
      <c r="O130" s="1">
        <f t="shared" si="4"/>
        <v>37.30999911</v>
      </c>
      <c r="P130" s="4">
        <f t="shared" si="5"/>
        <v>-0.04236676237</v>
      </c>
    </row>
    <row r="131" ht="15.75" customHeight="1">
      <c r="A131" s="3">
        <v>41767.0</v>
      </c>
      <c r="B131" s="1">
        <v>2014.0</v>
      </c>
      <c r="C131" s="1">
        <v>5.0</v>
      </c>
      <c r="D131" s="1" t="s">
        <v>21</v>
      </c>
      <c r="E131" s="1">
        <v>96335.44895138746</v>
      </c>
      <c r="F131" s="1">
        <v>93696.21613721379</v>
      </c>
      <c r="G131" s="1">
        <v>2683.0</v>
      </c>
      <c r="H131" s="1">
        <v>35.91</v>
      </c>
      <c r="I131" s="1">
        <v>34.92</v>
      </c>
      <c r="J131" s="1">
        <v>0.98</v>
      </c>
      <c r="K131" s="1">
        <v>2.74</v>
      </c>
      <c r="L131" s="1">
        <f t="shared" si="1"/>
        <v>2639.232814</v>
      </c>
      <c r="M131" s="1" t="str">
        <f t="shared" si="2"/>
        <v>Regular</v>
      </c>
      <c r="N131" s="1">
        <f t="shared" si="3"/>
        <v>35.9058699</v>
      </c>
      <c r="O131" s="1">
        <f t="shared" si="4"/>
        <v>37.3114936</v>
      </c>
      <c r="P131" s="4">
        <f t="shared" si="5"/>
        <v>-0.04238196994</v>
      </c>
    </row>
    <row r="132" ht="15.75" customHeight="1">
      <c r="A132" s="3">
        <v>41768.0</v>
      </c>
      <c r="B132" s="1">
        <v>2014.0</v>
      </c>
      <c r="C132" s="1">
        <v>5.0</v>
      </c>
      <c r="D132" s="1" t="s">
        <v>21</v>
      </c>
      <c r="E132" s="1">
        <v>303226.29835425445</v>
      </c>
      <c r="F132" s="1">
        <v>325836.9401138924</v>
      </c>
      <c r="G132" s="1">
        <v>9328.0</v>
      </c>
      <c r="H132" s="1">
        <v>32.51</v>
      </c>
      <c r="I132" s="1">
        <v>34.93</v>
      </c>
      <c r="J132" s="1">
        <v>-2.42</v>
      </c>
      <c r="K132" s="1">
        <v>-7.46</v>
      </c>
      <c r="L132" s="1">
        <f t="shared" si="1"/>
        <v>-22610.64176</v>
      </c>
      <c r="M132" s="1" t="str">
        <f t="shared" si="2"/>
        <v>ON SALE</v>
      </c>
      <c r="N132" s="1">
        <f t="shared" si="3"/>
        <v>32.50710746</v>
      </c>
      <c r="O132" s="1">
        <f t="shared" si="4"/>
        <v>37.31291975</v>
      </c>
      <c r="P132" s="4">
        <f t="shared" si="5"/>
        <v>-0.04242374957</v>
      </c>
    </row>
    <row r="133" ht="15.75" customHeight="1">
      <c r="A133" s="3">
        <v>41769.0</v>
      </c>
      <c r="B133" s="1">
        <v>2014.0</v>
      </c>
      <c r="C133" s="1">
        <v>5.0</v>
      </c>
      <c r="D133" s="1" t="s">
        <v>21</v>
      </c>
      <c r="E133" s="1">
        <v>431695.70916738006</v>
      </c>
      <c r="F133" s="1">
        <v>465253.815715588</v>
      </c>
      <c r="G133" s="1">
        <v>13306.0</v>
      </c>
      <c r="H133" s="1">
        <v>32.44</v>
      </c>
      <c r="I133" s="1">
        <v>34.97</v>
      </c>
      <c r="J133" s="1">
        <v>-2.52</v>
      </c>
      <c r="K133" s="1">
        <v>-7.77</v>
      </c>
      <c r="L133" s="1">
        <f t="shared" si="1"/>
        <v>-33558.10655</v>
      </c>
      <c r="M133" s="1" t="str">
        <f t="shared" si="2"/>
        <v>ON SALE</v>
      </c>
      <c r="N133" s="1">
        <f t="shared" si="3"/>
        <v>32.44368775</v>
      </c>
      <c r="O133" s="1">
        <f t="shared" si="4"/>
        <v>37.31787289</v>
      </c>
      <c r="P133" s="4">
        <f t="shared" si="5"/>
        <v>-0.04236305738</v>
      </c>
    </row>
    <row r="134" ht="15.75" customHeight="1">
      <c r="A134" s="3">
        <v>41770.0</v>
      </c>
      <c r="B134" s="1">
        <v>2014.0</v>
      </c>
      <c r="C134" s="1">
        <v>5.0</v>
      </c>
      <c r="D134" s="1" t="s">
        <v>21</v>
      </c>
      <c r="E134" s="1">
        <v>200407.27706754216</v>
      </c>
      <c r="F134" s="1">
        <v>215907.8249128291</v>
      </c>
      <c r="G134" s="1">
        <v>6173.0</v>
      </c>
      <c r="H134" s="1">
        <v>32.47</v>
      </c>
      <c r="I134" s="1">
        <v>34.98</v>
      </c>
      <c r="J134" s="1">
        <v>-2.51</v>
      </c>
      <c r="K134" s="1">
        <v>-7.73</v>
      </c>
      <c r="L134" s="1">
        <f t="shared" si="1"/>
        <v>-15500.54785</v>
      </c>
      <c r="M134" s="1" t="str">
        <f t="shared" si="2"/>
        <v>ON SALE</v>
      </c>
      <c r="N134" s="1">
        <f t="shared" si="3"/>
        <v>32.46513479</v>
      </c>
      <c r="O134" s="1">
        <f t="shared" si="4"/>
        <v>37.32487098</v>
      </c>
      <c r="P134" s="4">
        <f t="shared" si="5"/>
        <v>-0.04226771407</v>
      </c>
    </row>
    <row r="135" ht="15.75" customHeight="1">
      <c r="A135" s="3">
        <v>41771.0</v>
      </c>
      <c r="B135" s="1">
        <v>2014.0</v>
      </c>
      <c r="C135" s="1">
        <v>5.0</v>
      </c>
      <c r="D135" s="1" t="s">
        <v>21</v>
      </c>
      <c r="E135" s="1">
        <v>183413.70834773596</v>
      </c>
      <c r="F135" s="1">
        <v>197835.4950837978</v>
      </c>
      <c r="G135" s="1">
        <v>5653.0</v>
      </c>
      <c r="H135" s="1">
        <v>32.45</v>
      </c>
      <c r="I135" s="1">
        <v>35.0</v>
      </c>
      <c r="J135" s="1">
        <v>-2.55</v>
      </c>
      <c r="K135" s="1">
        <v>-7.86</v>
      </c>
      <c r="L135" s="1">
        <f t="shared" si="1"/>
        <v>-14421.78674</v>
      </c>
      <c r="M135" s="1" t="str">
        <f t="shared" si="2"/>
        <v>ON SALE</v>
      </c>
      <c r="N135" s="1">
        <f t="shared" si="3"/>
        <v>32.44537561</v>
      </c>
      <c r="O135" s="1">
        <f t="shared" si="4"/>
        <v>37.3281173</v>
      </c>
      <c r="P135" s="4">
        <f t="shared" si="5"/>
        <v>-0.0422237667</v>
      </c>
    </row>
    <row r="136" ht="15.75" customHeight="1">
      <c r="A136" s="3">
        <v>41772.0</v>
      </c>
      <c r="B136" s="1">
        <v>2014.0</v>
      </c>
      <c r="C136" s="1">
        <v>5.0</v>
      </c>
      <c r="D136" s="1" t="s">
        <v>21</v>
      </c>
      <c r="E136" s="1">
        <v>146166.6011247823</v>
      </c>
      <c r="F136" s="1">
        <v>157693.18930052698</v>
      </c>
      <c r="G136" s="1">
        <v>4503.0</v>
      </c>
      <c r="H136" s="1">
        <v>32.46</v>
      </c>
      <c r="I136" s="1">
        <v>35.02</v>
      </c>
      <c r="J136" s="1">
        <v>-2.56</v>
      </c>
      <c r="K136" s="1">
        <v>-7.89</v>
      </c>
      <c r="L136" s="1">
        <f t="shared" si="1"/>
        <v>-11526.58818</v>
      </c>
      <c r="M136" s="1" t="str">
        <f t="shared" si="2"/>
        <v>ON SALE</v>
      </c>
      <c r="N136" s="1">
        <f t="shared" si="3"/>
        <v>32.45982703</v>
      </c>
      <c r="O136" s="1">
        <f t="shared" si="4"/>
        <v>37.3310722</v>
      </c>
      <c r="P136" s="4">
        <f t="shared" si="5"/>
        <v>-0.0421819746</v>
      </c>
    </row>
    <row r="137" ht="15.75" customHeight="1">
      <c r="A137" s="3">
        <v>41773.0</v>
      </c>
      <c r="B137" s="1">
        <v>2014.0</v>
      </c>
      <c r="C137" s="1">
        <v>5.0</v>
      </c>
      <c r="D137" s="1" t="s">
        <v>21</v>
      </c>
      <c r="E137" s="1">
        <v>201120.72764081473</v>
      </c>
      <c r="F137" s="1">
        <v>218098.76188801107</v>
      </c>
      <c r="G137" s="1">
        <v>6253.0</v>
      </c>
      <c r="H137" s="1">
        <v>32.16</v>
      </c>
      <c r="I137" s="1">
        <v>34.88</v>
      </c>
      <c r="J137" s="1">
        <v>-2.72</v>
      </c>
      <c r="K137" s="1">
        <v>-8.44</v>
      </c>
      <c r="L137" s="1">
        <f t="shared" si="1"/>
        <v>-16978.03425</v>
      </c>
      <c r="M137" s="1" t="str">
        <f t="shared" si="2"/>
        <v>ON SALE</v>
      </c>
      <c r="N137" s="1">
        <f t="shared" si="3"/>
        <v>32.16387776</v>
      </c>
      <c r="O137" s="1">
        <f t="shared" si="4"/>
        <v>37.33340807</v>
      </c>
      <c r="P137" s="4">
        <f t="shared" si="5"/>
        <v>-0.04214839068</v>
      </c>
    </row>
    <row r="138" ht="15.75" customHeight="1">
      <c r="A138" s="3">
        <v>41774.0</v>
      </c>
      <c r="B138" s="1">
        <v>2014.0</v>
      </c>
      <c r="C138" s="1">
        <v>5.0</v>
      </c>
      <c r="D138" s="1" t="s">
        <v>21</v>
      </c>
      <c r="E138" s="1">
        <v>270123.5508233284</v>
      </c>
      <c r="F138" s="1">
        <v>289864.79847427225</v>
      </c>
      <c r="G138" s="1">
        <v>8408.0</v>
      </c>
      <c r="H138" s="1">
        <v>32.13</v>
      </c>
      <c r="I138" s="1">
        <v>34.47</v>
      </c>
      <c r="J138" s="1">
        <v>-2.35</v>
      </c>
      <c r="K138" s="1">
        <v>-7.31</v>
      </c>
      <c r="L138" s="1">
        <f t="shared" si="1"/>
        <v>-19741.24765</v>
      </c>
      <c r="M138" s="1" t="str">
        <f t="shared" si="2"/>
        <v>ON SALE</v>
      </c>
      <c r="N138" s="1">
        <f t="shared" si="3"/>
        <v>32.12696846</v>
      </c>
      <c r="O138" s="1">
        <f t="shared" si="4"/>
        <v>37.33685703</v>
      </c>
      <c r="P138" s="4">
        <f t="shared" si="5"/>
        <v>-0.04209506825</v>
      </c>
    </row>
    <row r="139" ht="15.75" customHeight="1">
      <c r="A139" s="3">
        <v>41775.0</v>
      </c>
      <c r="B139" s="1">
        <v>2014.0</v>
      </c>
      <c r="C139" s="1">
        <v>5.0</v>
      </c>
      <c r="D139" s="1" t="s">
        <v>21</v>
      </c>
      <c r="E139" s="1">
        <v>415315.38394824736</v>
      </c>
      <c r="F139" s="1">
        <v>441790.76722722733</v>
      </c>
      <c r="G139" s="1">
        <v>12949.0</v>
      </c>
      <c r="H139" s="1">
        <v>32.07</v>
      </c>
      <c r="I139" s="1">
        <v>34.12</v>
      </c>
      <c r="J139" s="1">
        <v>-2.04</v>
      </c>
      <c r="K139" s="1">
        <v>-6.37</v>
      </c>
      <c r="L139" s="1">
        <f t="shared" si="1"/>
        <v>-26475.38328</v>
      </c>
      <c r="M139" s="1" t="str">
        <f t="shared" si="2"/>
        <v>ON SALE</v>
      </c>
      <c r="N139" s="1">
        <f t="shared" si="3"/>
        <v>32.07316271</v>
      </c>
      <c r="O139" s="1">
        <f t="shared" si="4"/>
        <v>37.3422751</v>
      </c>
      <c r="P139" s="4">
        <f t="shared" si="5"/>
        <v>-0.04204247678</v>
      </c>
    </row>
    <row r="140" ht="15.75" customHeight="1">
      <c r="A140" s="3">
        <v>41776.0</v>
      </c>
      <c r="B140" s="1">
        <v>2014.0</v>
      </c>
      <c r="C140" s="1">
        <v>5.0</v>
      </c>
      <c r="D140" s="1" t="s">
        <v>21</v>
      </c>
      <c r="E140" s="1">
        <v>498716.9975550141</v>
      </c>
      <c r="F140" s="1">
        <v>526707.3769616452</v>
      </c>
      <c r="G140" s="1">
        <v>15508.0</v>
      </c>
      <c r="H140" s="1">
        <v>32.16</v>
      </c>
      <c r="I140" s="1">
        <v>33.96</v>
      </c>
      <c r="J140" s="1">
        <v>-1.8</v>
      </c>
      <c r="K140" s="1">
        <v>-5.61</v>
      </c>
      <c r="L140" s="1">
        <f t="shared" si="1"/>
        <v>-27990.37941</v>
      </c>
      <c r="M140" s="1" t="str">
        <f t="shared" si="2"/>
        <v>ON SALE</v>
      </c>
      <c r="N140" s="1">
        <f t="shared" si="3"/>
        <v>32.15869213</v>
      </c>
      <c r="O140" s="1">
        <f t="shared" si="4"/>
        <v>37.35170388</v>
      </c>
      <c r="P140" s="4">
        <f t="shared" si="5"/>
        <v>-0.04198569011</v>
      </c>
    </row>
    <row r="141" ht="15.75" customHeight="1">
      <c r="A141" s="3">
        <v>41777.0</v>
      </c>
      <c r="B141" s="1">
        <v>2014.0</v>
      </c>
      <c r="C141" s="1">
        <v>5.0</v>
      </c>
      <c r="D141" s="1" t="s">
        <v>21</v>
      </c>
      <c r="E141" s="1">
        <v>166433.17212925974</v>
      </c>
      <c r="F141" s="1">
        <v>174376.63247461844</v>
      </c>
      <c r="G141" s="1">
        <v>5141.0</v>
      </c>
      <c r="H141" s="1">
        <v>32.37</v>
      </c>
      <c r="I141" s="1">
        <v>33.92</v>
      </c>
      <c r="J141" s="1">
        <v>-1.55</v>
      </c>
      <c r="K141" s="1">
        <v>-4.77</v>
      </c>
      <c r="L141" s="1">
        <f t="shared" si="1"/>
        <v>-7943.460345</v>
      </c>
      <c r="M141" s="1" t="str">
        <f t="shared" si="2"/>
        <v>ON SALE</v>
      </c>
      <c r="N141" s="1">
        <f t="shared" si="3"/>
        <v>32.37369619</v>
      </c>
      <c r="O141" s="1">
        <f t="shared" si="4"/>
        <v>37.36361056</v>
      </c>
      <c r="P141" s="4">
        <f t="shared" si="5"/>
        <v>-0.04194112992</v>
      </c>
    </row>
    <row r="142" ht="15.75" customHeight="1">
      <c r="A142" s="3">
        <v>41778.0</v>
      </c>
      <c r="B142" s="1">
        <v>2014.0</v>
      </c>
      <c r="C142" s="1">
        <v>5.0</v>
      </c>
      <c r="D142" s="1" t="s">
        <v>21</v>
      </c>
      <c r="E142" s="1">
        <v>168520.6293674285</v>
      </c>
      <c r="F142" s="1">
        <v>175540.11551824523</v>
      </c>
      <c r="G142" s="1">
        <v>5194.0</v>
      </c>
      <c r="H142" s="1">
        <v>32.45</v>
      </c>
      <c r="I142" s="1">
        <v>33.8</v>
      </c>
      <c r="J142" s="1">
        <v>-1.35</v>
      </c>
      <c r="K142" s="1">
        <v>-4.17</v>
      </c>
      <c r="L142" s="1">
        <f t="shared" si="1"/>
        <v>-7019.486151</v>
      </c>
      <c r="M142" s="1" t="str">
        <f t="shared" si="2"/>
        <v>ON SALE</v>
      </c>
      <c r="N142" s="1">
        <f t="shared" si="3"/>
        <v>32.44525017</v>
      </c>
      <c r="O142" s="1">
        <f t="shared" si="4"/>
        <v>37.36762842</v>
      </c>
      <c r="P142" s="4">
        <f t="shared" si="5"/>
        <v>-0.04193503758</v>
      </c>
    </row>
    <row r="143" ht="15.75" customHeight="1">
      <c r="A143" s="3">
        <v>41779.0</v>
      </c>
      <c r="B143" s="1">
        <v>2014.0</v>
      </c>
      <c r="C143" s="1">
        <v>5.0</v>
      </c>
      <c r="D143" s="1" t="s">
        <v>21</v>
      </c>
      <c r="E143" s="1">
        <v>178123.53210953472</v>
      </c>
      <c r="F143" s="1">
        <v>187748.1722021974</v>
      </c>
      <c r="G143" s="1">
        <v>5550.0</v>
      </c>
      <c r="H143" s="1">
        <v>32.09</v>
      </c>
      <c r="I143" s="1">
        <v>33.83</v>
      </c>
      <c r="J143" s="1">
        <v>-1.73</v>
      </c>
      <c r="K143" s="1">
        <v>-5.4</v>
      </c>
      <c r="L143" s="1">
        <f t="shared" si="1"/>
        <v>-9624.640093</v>
      </c>
      <c r="M143" s="1" t="str">
        <f t="shared" si="2"/>
        <v>ON SALE</v>
      </c>
      <c r="N143" s="1">
        <f t="shared" si="3"/>
        <v>32.09433011</v>
      </c>
      <c r="O143" s="1">
        <f t="shared" si="4"/>
        <v>37.37184128</v>
      </c>
      <c r="P143" s="4">
        <f t="shared" si="5"/>
        <v>-0.04193533796</v>
      </c>
    </row>
    <row r="144" ht="15.75" customHeight="1">
      <c r="A144" s="3">
        <v>41780.0</v>
      </c>
      <c r="B144" s="1">
        <v>2014.0</v>
      </c>
      <c r="C144" s="1">
        <v>5.0</v>
      </c>
      <c r="D144" s="1" t="s">
        <v>21</v>
      </c>
      <c r="E144" s="1">
        <v>194878.80263463093</v>
      </c>
      <c r="F144" s="1">
        <v>204460.6653774428</v>
      </c>
      <c r="G144" s="1">
        <v>6070.0</v>
      </c>
      <c r="H144" s="1">
        <v>32.11</v>
      </c>
      <c r="I144" s="1">
        <v>33.68</v>
      </c>
      <c r="J144" s="1">
        <v>-1.58</v>
      </c>
      <c r="K144" s="1">
        <v>-4.92</v>
      </c>
      <c r="L144" s="1">
        <f t="shared" si="1"/>
        <v>-9581.862743</v>
      </c>
      <c r="M144" s="1" t="str">
        <f t="shared" si="2"/>
        <v>ON SALE</v>
      </c>
      <c r="N144" s="1">
        <f t="shared" si="3"/>
        <v>32.10523931</v>
      </c>
      <c r="O144" s="1">
        <f t="shared" si="4"/>
        <v>37.37631377</v>
      </c>
      <c r="P144" s="4">
        <f t="shared" si="5"/>
        <v>-0.04192167568</v>
      </c>
    </row>
    <row r="145" ht="15.75" customHeight="1">
      <c r="A145" s="3">
        <v>41781.0</v>
      </c>
      <c r="B145" s="1">
        <v>2014.0</v>
      </c>
      <c r="C145" s="1">
        <v>5.0</v>
      </c>
      <c r="D145" s="1" t="s">
        <v>21</v>
      </c>
      <c r="E145" s="1">
        <v>115475.09689625975</v>
      </c>
      <c r="F145" s="1">
        <v>115011.32260883169</v>
      </c>
      <c r="G145" s="1">
        <v>3421.0</v>
      </c>
      <c r="H145" s="1">
        <v>33.75</v>
      </c>
      <c r="I145" s="1">
        <v>33.62</v>
      </c>
      <c r="J145" s="1">
        <v>0.14</v>
      </c>
      <c r="K145" s="1">
        <v>0.4</v>
      </c>
      <c r="L145" s="1">
        <f t="shared" si="1"/>
        <v>463.7742874</v>
      </c>
      <c r="M145" s="1" t="str">
        <f t="shared" si="2"/>
        <v>Regular</v>
      </c>
      <c r="N145" s="1">
        <f t="shared" si="3"/>
        <v>33.7547784</v>
      </c>
      <c r="O145" s="1">
        <f t="shared" si="4"/>
        <v>37.38141828</v>
      </c>
      <c r="P145" s="4">
        <f t="shared" si="5"/>
        <v>-0.0419127113</v>
      </c>
    </row>
    <row r="146" ht="15.75" customHeight="1">
      <c r="A146" s="3">
        <v>41782.0</v>
      </c>
      <c r="B146" s="1">
        <v>2014.0</v>
      </c>
      <c r="C146" s="1">
        <v>5.0</v>
      </c>
      <c r="D146" s="1" t="s">
        <v>21</v>
      </c>
      <c r="E146" s="1">
        <v>430521.02453865507</v>
      </c>
      <c r="F146" s="1">
        <v>449274.1862583655</v>
      </c>
      <c r="G146" s="1">
        <v>13384.0</v>
      </c>
      <c r="H146" s="1">
        <v>32.17</v>
      </c>
      <c r="I146" s="1">
        <v>33.57</v>
      </c>
      <c r="J146" s="1">
        <v>-1.4</v>
      </c>
      <c r="K146" s="1">
        <v>-4.36</v>
      </c>
      <c r="L146" s="1">
        <f t="shared" si="1"/>
        <v>-18753.16172</v>
      </c>
      <c r="M146" s="1" t="str">
        <f t="shared" si="2"/>
        <v>ON SALE</v>
      </c>
      <c r="N146" s="1">
        <f t="shared" si="3"/>
        <v>32.16684284</v>
      </c>
      <c r="O146" s="1">
        <f t="shared" si="4"/>
        <v>37.38435172</v>
      </c>
      <c r="P146" s="4">
        <f t="shared" si="5"/>
        <v>-0.04194640216</v>
      </c>
    </row>
    <row r="147" ht="15.75" customHeight="1">
      <c r="A147" s="3">
        <v>41783.0</v>
      </c>
      <c r="B147" s="1">
        <v>2014.0</v>
      </c>
      <c r="C147" s="1">
        <v>5.0</v>
      </c>
      <c r="D147" s="1" t="s">
        <v>21</v>
      </c>
      <c r="E147" s="1">
        <v>590642.8256606437</v>
      </c>
      <c r="F147" s="1">
        <v>614245.7941495274</v>
      </c>
      <c r="G147" s="1">
        <v>18356.0</v>
      </c>
      <c r="H147" s="1">
        <v>32.18</v>
      </c>
      <c r="I147" s="1">
        <v>33.46</v>
      </c>
      <c r="J147" s="1">
        <v>-1.29</v>
      </c>
      <c r="K147" s="1">
        <v>-4.0</v>
      </c>
      <c r="L147" s="1">
        <f t="shared" si="1"/>
        <v>-23602.96849</v>
      </c>
      <c r="M147" s="1" t="str">
        <f t="shared" si="2"/>
        <v>ON SALE</v>
      </c>
      <c r="N147" s="1">
        <f t="shared" si="3"/>
        <v>32.1770988</v>
      </c>
      <c r="O147" s="1">
        <f t="shared" si="4"/>
        <v>37.39602902</v>
      </c>
      <c r="P147" s="4">
        <f t="shared" si="5"/>
        <v>-0.04194197925</v>
      </c>
    </row>
    <row r="148" ht="15.75" customHeight="1">
      <c r="A148" s="3">
        <v>41784.0</v>
      </c>
      <c r="B148" s="1">
        <v>2014.0</v>
      </c>
      <c r="C148" s="1">
        <v>5.0</v>
      </c>
      <c r="D148" s="1" t="s">
        <v>21</v>
      </c>
      <c r="E148" s="1">
        <v>210764.71795229093</v>
      </c>
      <c r="F148" s="1">
        <v>217364.46301139216</v>
      </c>
      <c r="G148" s="1">
        <v>6500.0</v>
      </c>
      <c r="H148" s="1">
        <v>32.43</v>
      </c>
      <c r="I148" s="1">
        <v>33.44</v>
      </c>
      <c r="J148" s="1">
        <v>-1.02</v>
      </c>
      <c r="K148" s="1">
        <v>-3.13</v>
      </c>
      <c r="L148" s="1">
        <f t="shared" si="1"/>
        <v>-6599.745059</v>
      </c>
      <c r="M148" s="1" t="str">
        <f t="shared" si="2"/>
        <v>ON SALE</v>
      </c>
      <c r="N148" s="1">
        <f t="shared" si="3"/>
        <v>32.42534122</v>
      </c>
      <c r="O148" s="1">
        <f t="shared" si="4"/>
        <v>37.41260374</v>
      </c>
      <c r="P148" s="4">
        <f t="shared" si="5"/>
        <v>-0.04194945855</v>
      </c>
    </row>
    <row r="149" ht="15.75" customHeight="1">
      <c r="A149" s="3">
        <v>41785.0</v>
      </c>
      <c r="B149" s="1">
        <v>2014.0</v>
      </c>
      <c r="C149" s="1">
        <v>5.0</v>
      </c>
      <c r="D149" s="1" t="s">
        <v>21</v>
      </c>
      <c r="E149" s="1">
        <v>218189.34852144716</v>
      </c>
      <c r="F149" s="1">
        <v>225607.5951852721</v>
      </c>
      <c r="G149" s="1">
        <v>6752.0</v>
      </c>
      <c r="H149" s="1">
        <v>32.31</v>
      </c>
      <c r="I149" s="1">
        <v>33.41</v>
      </c>
      <c r="J149" s="1">
        <v>-1.1</v>
      </c>
      <c r="K149" s="1">
        <v>-3.4</v>
      </c>
      <c r="L149" s="1">
        <f t="shared" si="1"/>
        <v>-7418.246664</v>
      </c>
      <c r="M149" s="1" t="str">
        <f t="shared" si="2"/>
        <v>ON SALE</v>
      </c>
      <c r="N149" s="1">
        <f t="shared" si="3"/>
        <v>32.31477318</v>
      </c>
      <c r="O149" s="1">
        <f t="shared" si="4"/>
        <v>37.41853979</v>
      </c>
      <c r="P149" s="4">
        <f t="shared" si="5"/>
        <v>-0.04196381116</v>
      </c>
    </row>
    <row r="150" ht="15.75" customHeight="1">
      <c r="A150" s="3">
        <v>41786.0</v>
      </c>
      <c r="B150" s="1">
        <v>2014.0</v>
      </c>
      <c r="C150" s="1">
        <v>5.0</v>
      </c>
      <c r="D150" s="1" t="s">
        <v>21</v>
      </c>
      <c r="E150" s="1">
        <v>226132.46392936216</v>
      </c>
      <c r="F150" s="1">
        <v>234496.51283165644</v>
      </c>
      <c r="G150" s="1">
        <v>7023.0</v>
      </c>
      <c r="H150" s="1">
        <v>32.2</v>
      </c>
      <c r="I150" s="1">
        <v>33.39</v>
      </c>
      <c r="J150" s="1">
        <v>-1.19</v>
      </c>
      <c r="K150" s="1">
        <v>-3.7</v>
      </c>
      <c r="L150" s="1">
        <f t="shared" si="1"/>
        <v>-8364.048902</v>
      </c>
      <c r="M150" s="1" t="str">
        <f t="shared" si="2"/>
        <v>ON SALE</v>
      </c>
      <c r="N150" s="1">
        <f t="shared" si="3"/>
        <v>32.19884151</v>
      </c>
      <c r="O150" s="1">
        <f t="shared" si="4"/>
        <v>37.42476714</v>
      </c>
      <c r="P150" s="4">
        <f t="shared" si="5"/>
        <v>-0.04197495304</v>
      </c>
    </row>
    <row r="151" ht="15.75" customHeight="1">
      <c r="A151" s="3">
        <v>41787.0</v>
      </c>
      <c r="B151" s="1">
        <v>2014.0</v>
      </c>
      <c r="C151" s="1">
        <v>5.0</v>
      </c>
      <c r="D151" s="1" t="s">
        <v>21</v>
      </c>
      <c r="E151" s="1">
        <v>243720.86804506715</v>
      </c>
      <c r="F151" s="1">
        <v>252929.29469238102</v>
      </c>
      <c r="G151" s="1">
        <v>7579.0</v>
      </c>
      <c r="H151" s="1">
        <v>32.16</v>
      </c>
      <c r="I151" s="1">
        <v>33.37</v>
      </c>
      <c r="J151" s="1">
        <v>-1.21</v>
      </c>
      <c r="K151" s="1">
        <v>-3.78</v>
      </c>
      <c r="L151" s="1">
        <f t="shared" si="1"/>
        <v>-9208.426647</v>
      </c>
      <c r="M151" s="1" t="str">
        <f t="shared" si="2"/>
        <v>ON SALE</v>
      </c>
      <c r="N151" s="1">
        <f t="shared" si="3"/>
        <v>32.15739122</v>
      </c>
      <c r="O151" s="1">
        <f t="shared" si="4"/>
        <v>37.43130333</v>
      </c>
      <c r="P151" s="4">
        <f t="shared" si="5"/>
        <v>-0.0419821947</v>
      </c>
    </row>
    <row r="152" ht="15.75" customHeight="1">
      <c r="A152" s="3">
        <v>41788.0</v>
      </c>
      <c r="B152" s="1">
        <v>2014.0</v>
      </c>
      <c r="C152" s="1">
        <v>5.0</v>
      </c>
      <c r="D152" s="1" t="s">
        <v>21</v>
      </c>
      <c r="E152" s="1">
        <v>207429.42904813593</v>
      </c>
      <c r="F152" s="1">
        <v>215118.84649511724</v>
      </c>
      <c r="G152" s="1">
        <v>6448.0</v>
      </c>
      <c r="H152" s="1">
        <v>32.17</v>
      </c>
      <c r="I152" s="1">
        <v>33.36</v>
      </c>
      <c r="J152" s="1">
        <v>-1.19</v>
      </c>
      <c r="K152" s="1">
        <v>-3.71</v>
      </c>
      <c r="L152" s="1">
        <f t="shared" si="1"/>
        <v>-7689.417447</v>
      </c>
      <c r="M152" s="1" t="str">
        <f t="shared" si="2"/>
        <v>ON SALE</v>
      </c>
      <c r="N152" s="1">
        <f t="shared" si="3"/>
        <v>32.16957647</v>
      </c>
      <c r="O152" s="1">
        <f t="shared" si="4"/>
        <v>37.43841126</v>
      </c>
      <c r="P152" s="4">
        <f t="shared" si="5"/>
        <v>-0.04198877672</v>
      </c>
    </row>
    <row r="153" ht="15.75" customHeight="1">
      <c r="A153" s="3">
        <v>41789.0</v>
      </c>
      <c r="B153" s="1">
        <v>2014.0</v>
      </c>
      <c r="C153" s="1">
        <v>5.0</v>
      </c>
      <c r="D153" s="1" t="s">
        <v>21</v>
      </c>
      <c r="E153" s="1">
        <v>503149.4313453478</v>
      </c>
      <c r="F153" s="1">
        <v>521651.08612557297</v>
      </c>
      <c r="G153" s="1">
        <v>15637.0</v>
      </c>
      <c r="H153" s="1">
        <v>32.18</v>
      </c>
      <c r="I153" s="1">
        <v>33.36</v>
      </c>
      <c r="J153" s="1">
        <v>-1.18</v>
      </c>
      <c r="K153" s="1">
        <v>-3.68</v>
      </c>
      <c r="L153" s="1">
        <f t="shared" si="1"/>
        <v>-18501.65478</v>
      </c>
      <c r="M153" s="1" t="str">
        <f t="shared" si="2"/>
        <v>ON SALE</v>
      </c>
      <c r="N153" s="1">
        <f t="shared" si="3"/>
        <v>32.17685178</v>
      </c>
      <c r="O153" s="1">
        <f t="shared" si="4"/>
        <v>37.44449346</v>
      </c>
      <c r="P153" s="4">
        <f t="shared" si="5"/>
        <v>-0.04199534679</v>
      </c>
    </row>
    <row r="154" ht="15.75" customHeight="1">
      <c r="A154" s="3">
        <v>41790.0</v>
      </c>
      <c r="B154" s="1">
        <v>2014.0</v>
      </c>
      <c r="C154" s="1">
        <v>5.0</v>
      </c>
      <c r="D154" s="1" t="s">
        <v>21</v>
      </c>
      <c r="E154" s="1">
        <v>603748.7895260763</v>
      </c>
      <c r="F154" s="1">
        <v>626259.3868488161</v>
      </c>
      <c r="G154" s="1">
        <v>18775.0</v>
      </c>
      <c r="H154" s="1">
        <v>32.16</v>
      </c>
      <c r="I154" s="1">
        <v>33.36</v>
      </c>
      <c r="J154" s="1">
        <v>-1.2</v>
      </c>
      <c r="K154" s="1">
        <v>-3.73</v>
      </c>
      <c r="L154" s="1">
        <f t="shared" si="1"/>
        <v>-22510.59732</v>
      </c>
      <c r="M154" s="1" t="str">
        <f t="shared" si="2"/>
        <v>ON SALE</v>
      </c>
      <c r="N154" s="1">
        <f t="shared" si="3"/>
        <v>32.15705936</v>
      </c>
      <c r="O154" s="1">
        <f t="shared" si="4"/>
        <v>37.45932647</v>
      </c>
      <c r="P154" s="4">
        <f t="shared" si="5"/>
        <v>-0.04201232639</v>
      </c>
    </row>
    <row r="155" ht="15.75" customHeight="1">
      <c r="A155" s="3">
        <v>41791.0</v>
      </c>
      <c r="B155" s="1">
        <v>2014.0</v>
      </c>
      <c r="C155" s="1">
        <v>6.0</v>
      </c>
      <c r="D155" s="1" t="s">
        <v>22</v>
      </c>
      <c r="E155" s="1">
        <v>456017.4630926764</v>
      </c>
      <c r="F155" s="1">
        <v>473223.9807315766</v>
      </c>
      <c r="G155" s="1">
        <v>14188.0</v>
      </c>
      <c r="H155" s="1">
        <v>32.14</v>
      </c>
      <c r="I155" s="1">
        <v>33.35</v>
      </c>
      <c r="J155" s="1">
        <v>-1.21</v>
      </c>
      <c r="K155" s="1">
        <v>-3.77</v>
      </c>
      <c r="L155" s="1">
        <f t="shared" si="1"/>
        <v>-17206.51764</v>
      </c>
      <c r="M155" s="1" t="str">
        <f t="shared" si="2"/>
        <v>ON SALE</v>
      </c>
      <c r="N155" s="1">
        <f t="shared" si="3"/>
        <v>32.14106732</v>
      </c>
      <c r="O155" s="1">
        <f t="shared" si="4"/>
        <v>37.47729672</v>
      </c>
      <c r="P155" s="4">
        <f t="shared" si="5"/>
        <v>-0.04203083833</v>
      </c>
    </row>
    <row r="156" ht="15.75" customHeight="1">
      <c r="A156" s="3">
        <v>41792.0</v>
      </c>
      <c r="B156" s="1">
        <v>2014.0</v>
      </c>
      <c r="C156" s="1">
        <v>6.0</v>
      </c>
      <c r="D156" s="1" t="s">
        <v>22</v>
      </c>
      <c r="E156" s="1">
        <v>425845.1960447211</v>
      </c>
      <c r="F156" s="1">
        <v>442155.99116118724</v>
      </c>
      <c r="G156" s="1">
        <v>13256.0</v>
      </c>
      <c r="H156" s="1">
        <v>32.12</v>
      </c>
      <c r="I156" s="1">
        <v>33.36</v>
      </c>
      <c r="J156" s="1">
        <v>-1.23</v>
      </c>
      <c r="K156" s="1">
        <v>-3.83</v>
      </c>
      <c r="L156" s="1">
        <f t="shared" si="1"/>
        <v>-16310.79512</v>
      </c>
      <c r="M156" s="1" t="str">
        <f t="shared" si="2"/>
        <v>ON SALE</v>
      </c>
      <c r="N156" s="1">
        <f t="shared" si="3"/>
        <v>32.12471304</v>
      </c>
      <c r="O156" s="1">
        <f t="shared" si="4"/>
        <v>37.49098867</v>
      </c>
      <c r="P156" s="4">
        <f t="shared" si="5"/>
        <v>-0.04204358971</v>
      </c>
    </row>
    <row r="157" ht="15.75" customHeight="1">
      <c r="A157" s="3">
        <v>41793.0</v>
      </c>
      <c r="B157" s="1">
        <v>2014.0</v>
      </c>
      <c r="C157" s="1">
        <v>6.0</v>
      </c>
      <c r="D157" s="1" t="s">
        <v>22</v>
      </c>
      <c r="E157" s="1">
        <v>328217.769952647</v>
      </c>
      <c r="F157" s="1">
        <v>340913.591725203</v>
      </c>
      <c r="G157" s="1">
        <v>10223.0</v>
      </c>
      <c r="H157" s="1">
        <v>32.11</v>
      </c>
      <c r="I157" s="1">
        <v>33.35</v>
      </c>
      <c r="J157" s="1">
        <v>-1.24</v>
      </c>
      <c r="K157" s="1">
        <v>-3.87</v>
      </c>
      <c r="L157" s="1">
        <f t="shared" si="1"/>
        <v>-12695.82177</v>
      </c>
      <c r="M157" s="1" t="str">
        <f t="shared" si="2"/>
        <v>ON SALE</v>
      </c>
      <c r="N157" s="1">
        <f t="shared" si="3"/>
        <v>32.10581727</v>
      </c>
      <c r="O157" s="1">
        <f t="shared" si="4"/>
        <v>37.50385945</v>
      </c>
      <c r="P157" s="4">
        <f t="shared" si="5"/>
        <v>-0.0420539825</v>
      </c>
    </row>
    <row r="158" ht="15.75" customHeight="1">
      <c r="A158" s="3">
        <v>41794.0</v>
      </c>
      <c r="B158" s="1">
        <v>2014.0</v>
      </c>
      <c r="C158" s="1">
        <v>6.0</v>
      </c>
      <c r="D158" s="1" t="s">
        <v>22</v>
      </c>
      <c r="E158" s="1">
        <v>286405.9988025032</v>
      </c>
      <c r="F158" s="1">
        <v>296902.67253080226</v>
      </c>
      <c r="G158" s="1">
        <v>8904.0</v>
      </c>
      <c r="H158" s="1">
        <v>32.17</v>
      </c>
      <c r="I158" s="1">
        <v>33.34</v>
      </c>
      <c r="J158" s="1">
        <v>-1.18</v>
      </c>
      <c r="K158" s="1">
        <v>-3.66</v>
      </c>
      <c r="L158" s="1">
        <f t="shared" si="1"/>
        <v>-10496.67373</v>
      </c>
      <c r="M158" s="1" t="str">
        <f t="shared" si="2"/>
        <v>ON SALE</v>
      </c>
      <c r="N158" s="1">
        <f t="shared" si="3"/>
        <v>32.16599268</v>
      </c>
      <c r="O158" s="1">
        <f t="shared" si="4"/>
        <v>37.51385815</v>
      </c>
      <c r="P158" s="4">
        <f t="shared" si="5"/>
        <v>-0.04206121918</v>
      </c>
    </row>
    <row r="159" ht="15.75" customHeight="1">
      <c r="A159" s="3">
        <v>41795.0</v>
      </c>
      <c r="B159" s="1">
        <v>2014.0</v>
      </c>
      <c r="C159" s="1">
        <v>6.0</v>
      </c>
      <c r="D159" s="1" t="s">
        <v>22</v>
      </c>
      <c r="E159" s="1">
        <v>184989.88866687592</v>
      </c>
      <c r="F159" s="1">
        <v>192824.89012846403</v>
      </c>
      <c r="G159" s="1">
        <v>5783.0</v>
      </c>
      <c r="H159" s="1">
        <v>31.99</v>
      </c>
      <c r="I159" s="1">
        <v>33.34</v>
      </c>
      <c r="J159" s="1">
        <v>-1.35</v>
      </c>
      <c r="K159" s="1">
        <v>-4.24</v>
      </c>
      <c r="L159" s="1">
        <f t="shared" si="1"/>
        <v>-7835.001462</v>
      </c>
      <c r="M159" s="1" t="str">
        <f t="shared" si="2"/>
        <v>ON SALE</v>
      </c>
      <c r="N159" s="1">
        <f t="shared" si="3"/>
        <v>31.98856799</v>
      </c>
      <c r="O159" s="1">
        <f t="shared" si="4"/>
        <v>37.52261203</v>
      </c>
      <c r="P159" s="4">
        <f t="shared" si="5"/>
        <v>-0.04207136987</v>
      </c>
    </row>
    <row r="160" ht="15.75" customHeight="1">
      <c r="A160" s="3">
        <v>41796.0</v>
      </c>
      <c r="B160" s="1">
        <v>2014.0</v>
      </c>
      <c r="C160" s="1">
        <v>6.0</v>
      </c>
      <c r="D160" s="1" t="s">
        <v>22</v>
      </c>
      <c r="E160" s="1">
        <v>288118.3044474556</v>
      </c>
      <c r="F160" s="1">
        <v>300213.5594066618</v>
      </c>
      <c r="G160" s="1">
        <v>9005.0</v>
      </c>
      <c r="H160" s="1">
        <v>32.0</v>
      </c>
      <c r="I160" s="1">
        <v>33.34</v>
      </c>
      <c r="J160" s="1">
        <v>-1.34</v>
      </c>
      <c r="K160" s="1">
        <v>-4.2</v>
      </c>
      <c r="L160" s="1">
        <f t="shared" si="1"/>
        <v>-12095.25496</v>
      </c>
      <c r="M160" s="1" t="str">
        <f t="shared" si="2"/>
        <v>ON SALE</v>
      </c>
      <c r="N160" s="1">
        <f t="shared" si="3"/>
        <v>31.99536973</v>
      </c>
      <c r="O160" s="1">
        <f t="shared" si="4"/>
        <v>37.52831925</v>
      </c>
      <c r="P160" s="4">
        <f t="shared" si="5"/>
        <v>-0.04207102744</v>
      </c>
    </row>
    <row r="161" ht="15.75" customHeight="1">
      <c r="A161" s="3">
        <v>41797.0</v>
      </c>
      <c r="B161" s="1">
        <v>2014.0</v>
      </c>
      <c r="C161" s="1">
        <v>6.0</v>
      </c>
      <c r="D161" s="1" t="s">
        <v>22</v>
      </c>
      <c r="E161" s="1">
        <v>391930.8780096609</v>
      </c>
      <c r="F161" s="1">
        <v>407438.9196005409</v>
      </c>
      <c r="G161" s="1">
        <v>12222.0</v>
      </c>
      <c r="H161" s="1">
        <v>32.07</v>
      </c>
      <c r="I161" s="1">
        <v>33.34</v>
      </c>
      <c r="J161" s="1">
        <v>-1.27</v>
      </c>
      <c r="K161" s="1">
        <v>-3.96</v>
      </c>
      <c r="L161" s="1">
        <f t="shared" si="1"/>
        <v>-15508.04159</v>
      </c>
      <c r="M161" s="1" t="str">
        <f t="shared" si="2"/>
        <v>ON SALE</v>
      </c>
      <c r="N161" s="1">
        <f t="shared" si="3"/>
        <v>32.06765489</v>
      </c>
      <c r="O161" s="1">
        <f t="shared" si="4"/>
        <v>37.53724771</v>
      </c>
      <c r="P161" s="4">
        <f t="shared" si="5"/>
        <v>-0.04207119941</v>
      </c>
    </row>
    <row r="162" ht="15.75" customHeight="1">
      <c r="A162" s="3">
        <v>41798.0</v>
      </c>
      <c r="B162" s="1">
        <v>2014.0</v>
      </c>
      <c r="C162" s="1">
        <v>6.0</v>
      </c>
      <c r="D162" s="1" t="s">
        <v>22</v>
      </c>
      <c r="E162" s="1">
        <v>193772.58110879714</v>
      </c>
      <c r="F162" s="1">
        <v>201254.71251154633</v>
      </c>
      <c r="G162" s="1">
        <v>6037.0</v>
      </c>
      <c r="H162" s="1">
        <v>32.1</v>
      </c>
      <c r="I162" s="1">
        <v>33.34</v>
      </c>
      <c r="J162" s="1">
        <v>-1.24</v>
      </c>
      <c r="K162" s="1">
        <v>-3.86</v>
      </c>
      <c r="L162" s="1">
        <f t="shared" si="1"/>
        <v>-7482.131403</v>
      </c>
      <c r="M162" s="1" t="str">
        <f t="shared" si="2"/>
        <v>ON SALE</v>
      </c>
      <c r="N162" s="1">
        <f t="shared" si="3"/>
        <v>32.09749563</v>
      </c>
      <c r="O162" s="1">
        <f t="shared" si="4"/>
        <v>37.54943273</v>
      </c>
      <c r="P162" s="4">
        <f t="shared" si="5"/>
        <v>-0.04207766053</v>
      </c>
    </row>
    <row r="163" ht="15.75" customHeight="1">
      <c r="A163" s="3">
        <v>41799.0</v>
      </c>
      <c r="B163" s="1">
        <v>2014.0</v>
      </c>
      <c r="C163" s="1">
        <v>6.0</v>
      </c>
      <c r="D163" s="1" t="s">
        <v>22</v>
      </c>
      <c r="E163" s="1">
        <v>214177.98344261837</v>
      </c>
      <c r="F163" s="1">
        <v>220255.2191788284</v>
      </c>
      <c r="G163" s="1">
        <v>6607.0</v>
      </c>
      <c r="H163" s="1">
        <v>32.42</v>
      </c>
      <c r="I163" s="1">
        <v>33.34</v>
      </c>
      <c r="J163" s="1">
        <v>-0.92</v>
      </c>
      <c r="K163" s="1">
        <v>-2.84</v>
      </c>
      <c r="L163" s="1">
        <f t="shared" si="1"/>
        <v>-6077.235736</v>
      </c>
      <c r="M163" s="1" t="str">
        <f t="shared" si="2"/>
        <v>ON SALE</v>
      </c>
      <c r="N163" s="1">
        <f t="shared" si="3"/>
        <v>32.41682813</v>
      </c>
      <c r="O163" s="1">
        <f t="shared" si="4"/>
        <v>37.55547708</v>
      </c>
      <c r="P163" s="4">
        <f t="shared" si="5"/>
        <v>-0.04208208815</v>
      </c>
    </row>
    <row r="164" ht="15.75" customHeight="1">
      <c r="A164" s="3">
        <v>41800.0</v>
      </c>
      <c r="B164" s="1">
        <v>2014.0</v>
      </c>
      <c r="C164" s="1">
        <v>6.0</v>
      </c>
      <c r="D164" s="1" t="s">
        <v>22</v>
      </c>
      <c r="E164" s="1">
        <v>188334.52117067974</v>
      </c>
      <c r="F164" s="1">
        <v>195254.78100370185</v>
      </c>
      <c r="G164" s="1">
        <v>5857.0</v>
      </c>
      <c r="H164" s="1">
        <v>32.16</v>
      </c>
      <c r="I164" s="1">
        <v>33.34</v>
      </c>
      <c r="J164" s="1">
        <v>-1.18</v>
      </c>
      <c r="K164" s="1">
        <v>-3.67</v>
      </c>
      <c r="L164" s="1">
        <f t="shared" si="1"/>
        <v>-6920.259833</v>
      </c>
      <c r="M164" s="1" t="str">
        <f t="shared" si="2"/>
        <v>ON SALE</v>
      </c>
      <c r="N164" s="1">
        <f t="shared" si="3"/>
        <v>32.15545863</v>
      </c>
      <c r="O164" s="1">
        <f t="shared" si="4"/>
        <v>37.56211239</v>
      </c>
      <c r="P164" s="4">
        <f t="shared" si="5"/>
        <v>-0.0421014771</v>
      </c>
    </row>
    <row r="165" ht="15.75" customHeight="1">
      <c r="A165" s="3">
        <v>41801.0</v>
      </c>
      <c r="B165" s="1">
        <v>2014.0</v>
      </c>
      <c r="C165" s="1">
        <v>6.0</v>
      </c>
      <c r="D165" s="1" t="s">
        <v>22</v>
      </c>
      <c r="E165" s="1">
        <v>174324.99481545974</v>
      </c>
      <c r="F165" s="1">
        <v>180978.6010382294</v>
      </c>
      <c r="G165" s="1">
        <v>5429.0</v>
      </c>
      <c r="H165" s="1">
        <v>32.11</v>
      </c>
      <c r="I165" s="1">
        <v>33.34</v>
      </c>
      <c r="J165" s="1">
        <v>-1.23</v>
      </c>
      <c r="K165" s="1">
        <v>-3.82</v>
      </c>
      <c r="L165" s="1">
        <f t="shared" si="1"/>
        <v>-6653.606223</v>
      </c>
      <c r="M165" s="1" t="str">
        <f t="shared" si="2"/>
        <v>ON SALE</v>
      </c>
      <c r="N165" s="1">
        <f t="shared" si="3"/>
        <v>32.10996405</v>
      </c>
      <c r="O165" s="1">
        <f t="shared" si="4"/>
        <v>37.56801147</v>
      </c>
      <c r="P165" s="4">
        <f t="shared" si="5"/>
        <v>-0.04210814845</v>
      </c>
    </row>
    <row r="166" ht="15.75" customHeight="1">
      <c r="A166" s="3">
        <v>41802.0</v>
      </c>
      <c r="B166" s="1">
        <v>2014.0</v>
      </c>
      <c r="C166" s="1">
        <v>6.0</v>
      </c>
      <c r="D166" s="1" t="s">
        <v>22</v>
      </c>
      <c r="E166" s="1">
        <v>200271.56431625973</v>
      </c>
      <c r="F166" s="1">
        <v>207757.70297321578</v>
      </c>
      <c r="G166" s="1">
        <v>6232.0</v>
      </c>
      <c r="H166" s="1">
        <v>32.14</v>
      </c>
      <c r="I166" s="1">
        <v>33.34</v>
      </c>
      <c r="J166" s="1">
        <v>-1.2</v>
      </c>
      <c r="K166" s="1">
        <v>-3.74</v>
      </c>
      <c r="L166" s="1">
        <f t="shared" si="1"/>
        <v>-7486.138657</v>
      </c>
      <c r="M166" s="1" t="str">
        <f t="shared" si="2"/>
        <v>ON SALE</v>
      </c>
      <c r="N166" s="1">
        <f t="shared" si="3"/>
        <v>32.13600198</v>
      </c>
      <c r="O166" s="1">
        <f t="shared" si="4"/>
        <v>37.57349611</v>
      </c>
      <c r="P166" s="4">
        <f t="shared" si="5"/>
        <v>-0.04211269579</v>
      </c>
    </row>
    <row r="167" ht="15.75" customHeight="1">
      <c r="A167" s="3">
        <v>41803.0</v>
      </c>
      <c r="B167" s="1">
        <v>2014.0</v>
      </c>
      <c r="C167" s="1">
        <v>6.0</v>
      </c>
      <c r="D167" s="1" t="s">
        <v>22</v>
      </c>
      <c r="E167" s="1">
        <v>468701.63017391367</v>
      </c>
      <c r="F167" s="1">
        <v>486180.5443618799</v>
      </c>
      <c r="G167" s="1">
        <v>14585.0</v>
      </c>
      <c r="H167" s="1">
        <v>32.14</v>
      </c>
      <c r="I167" s="1">
        <v>33.33</v>
      </c>
      <c r="J167" s="1">
        <v>-1.2</v>
      </c>
      <c r="K167" s="1">
        <v>-3.73</v>
      </c>
      <c r="L167" s="1">
        <f t="shared" si="1"/>
        <v>-17478.91419</v>
      </c>
      <c r="M167" s="1" t="str">
        <f t="shared" si="2"/>
        <v>ON SALE</v>
      </c>
      <c r="N167" s="1">
        <f t="shared" si="3"/>
        <v>32.13586768</v>
      </c>
      <c r="O167" s="1">
        <f t="shared" si="4"/>
        <v>37.57980697</v>
      </c>
      <c r="P167" s="4">
        <f t="shared" si="5"/>
        <v>-0.04211897892</v>
      </c>
    </row>
    <row r="168" ht="15.75" customHeight="1">
      <c r="A168" s="3">
        <v>41804.0</v>
      </c>
      <c r="B168" s="1">
        <v>2014.0</v>
      </c>
      <c r="C168" s="1">
        <v>6.0</v>
      </c>
      <c r="D168" s="1" t="s">
        <v>22</v>
      </c>
      <c r="E168" s="1">
        <v>473425.7541569488</v>
      </c>
      <c r="F168" s="1">
        <v>492135.2922944348</v>
      </c>
      <c r="G168" s="1">
        <v>14745.0</v>
      </c>
      <c r="H168" s="1">
        <v>32.11</v>
      </c>
      <c r="I168" s="1">
        <v>33.38</v>
      </c>
      <c r="J168" s="1">
        <v>-1.27</v>
      </c>
      <c r="K168" s="1">
        <v>-3.95</v>
      </c>
      <c r="L168" s="1">
        <f t="shared" si="1"/>
        <v>-18709.53814</v>
      </c>
      <c r="M168" s="1" t="str">
        <f t="shared" si="2"/>
        <v>ON SALE</v>
      </c>
      <c r="N168" s="1">
        <f t="shared" si="3"/>
        <v>32.10754521</v>
      </c>
      <c r="O168" s="1">
        <f t="shared" si="4"/>
        <v>37.59466064</v>
      </c>
      <c r="P168" s="4">
        <f t="shared" si="5"/>
        <v>-0.04213402238</v>
      </c>
    </row>
    <row r="169" ht="15.75" customHeight="1">
      <c r="A169" s="3">
        <v>41805.0</v>
      </c>
      <c r="B169" s="1">
        <v>2014.0</v>
      </c>
      <c r="C169" s="1">
        <v>6.0</v>
      </c>
      <c r="D169" s="1" t="s">
        <v>22</v>
      </c>
      <c r="E169" s="1">
        <v>224232.1213750946</v>
      </c>
      <c r="F169" s="1">
        <v>233554.0322464338</v>
      </c>
      <c r="G169" s="1">
        <v>6991.0</v>
      </c>
      <c r="H169" s="1">
        <v>32.07</v>
      </c>
      <c r="I169" s="1">
        <v>33.41</v>
      </c>
      <c r="J169" s="1">
        <v>-1.33</v>
      </c>
      <c r="K169" s="1">
        <v>-4.16</v>
      </c>
      <c r="L169" s="1">
        <f t="shared" si="1"/>
        <v>-9321.910871</v>
      </c>
      <c r="M169" s="1" t="str">
        <f t="shared" si="2"/>
        <v>ON SALE</v>
      </c>
      <c r="N169" s="1">
        <f t="shared" si="3"/>
        <v>32.07439871</v>
      </c>
      <c r="O169" s="1">
        <f t="shared" si="4"/>
        <v>37.60963373</v>
      </c>
      <c r="P169" s="4">
        <f t="shared" si="5"/>
        <v>-0.04214227917</v>
      </c>
    </row>
    <row r="170" ht="15.75" customHeight="1">
      <c r="A170" s="3">
        <v>41806.0</v>
      </c>
      <c r="B170" s="1">
        <v>2014.0</v>
      </c>
      <c r="C170" s="1">
        <v>6.0</v>
      </c>
      <c r="D170" s="1" t="s">
        <v>22</v>
      </c>
      <c r="E170" s="1">
        <v>185606.27501469472</v>
      </c>
      <c r="F170" s="1">
        <v>193340.31536521245</v>
      </c>
      <c r="G170" s="1">
        <v>5788.0</v>
      </c>
      <c r="H170" s="1">
        <v>32.07</v>
      </c>
      <c r="I170" s="1">
        <v>33.4</v>
      </c>
      <c r="J170" s="1">
        <v>-1.34</v>
      </c>
      <c r="K170" s="1">
        <v>-4.17</v>
      </c>
      <c r="L170" s="1">
        <f t="shared" si="1"/>
        <v>-7734.040351</v>
      </c>
      <c r="M170" s="1" t="str">
        <f t="shared" si="2"/>
        <v>ON SALE</v>
      </c>
      <c r="N170" s="1">
        <f t="shared" si="3"/>
        <v>32.0674283</v>
      </c>
      <c r="O170" s="1">
        <f t="shared" si="4"/>
        <v>37.61671716</v>
      </c>
      <c r="P170" s="4">
        <f t="shared" si="5"/>
        <v>-0.04214313256</v>
      </c>
    </row>
    <row r="171" ht="15.75" customHeight="1">
      <c r="A171" s="3">
        <v>41807.0</v>
      </c>
      <c r="B171" s="1">
        <v>2014.0</v>
      </c>
      <c r="C171" s="1">
        <v>6.0</v>
      </c>
      <c r="D171" s="1" t="s">
        <v>22</v>
      </c>
      <c r="E171" s="1">
        <v>212687.50941481217</v>
      </c>
      <c r="F171" s="1">
        <v>221403.64501724</v>
      </c>
      <c r="G171" s="1">
        <v>6632.0</v>
      </c>
      <c r="H171" s="1">
        <v>32.07</v>
      </c>
      <c r="I171" s="1">
        <v>33.38</v>
      </c>
      <c r="J171" s="1">
        <v>-1.31</v>
      </c>
      <c r="K171" s="1">
        <v>-4.1</v>
      </c>
      <c r="L171" s="1">
        <f t="shared" si="1"/>
        <v>-8716.135602</v>
      </c>
      <c r="M171" s="1" t="str">
        <f t="shared" si="2"/>
        <v>ON SALE</v>
      </c>
      <c r="N171" s="1">
        <f t="shared" si="3"/>
        <v>32.06988984</v>
      </c>
      <c r="O171" s="1">
        <f t="shared" si="4"/>
        <v>37.6226056</v>
      </c>
      <c r="P171" s="4">
        <f t="shared" si="5"/>
        <v>-0.04214372111</v>
      </c>
    </row>
    <row r="172" ht="15.75" customHeight="1">
      <c r="A172" s="3">
        <v>41808.0</v>
      </c>
      <c r="B172" s="1">
        <v>2014.0</v>
      </c>
      <c r="C172" s="1">
        <v>6.0</v>
      </c>
      <c r="D172" s="1" t="s">
        <v>22</v>
      </c>
      <c r="E172" s="1">
        <v>184259.69242149973</v>
      </c>
      <c r="F172" s="1">
        <v>192057.5108470778</v>
      </c>
      <c r="G172" s="1">
        <v>5752.0</v>
      </c>
      <c r="H172" s="1">
        <v>32.03</v>
      </c>
      <c r="I172" s="1">
        <v>33.39</v>
      </c>
      <c r="J172" s="1">
        <v>-1.36</v>
      </c>
      <c r="K172" s="1">
        <v>-4.23</v>
      </c>
      <c r="L172" s="1">
        <f t="shared" si="1"/>
        <v>-7797.818426</v>
      </c>
      <c r="M172" s="1" t="str">
        <f t="shared" si="2"/>
        <v>ON SALE</v>
      </c>
      <c r="N172" s="1">
        <f t="shared" si="3"/>
        <v>32.03402163</v>
      </c>
      <c r="O172" s="1">
        <f t="shared" si="4"/>
        <v>37.62940424</v>
      </c>
      <c r="P172" s="4">
        <f t="shared" si="5"/>
        <v>-0.04214537767</v>
      </c>
    </row>
    <row r="173" ht="15.75" customHeight="1">
      <c r="A173" s="3">
        <v>41809.0</v>
      </c>
      <c r="B173" s="1">
        <v>2014.0</v>
      </c>
      <c r="C173" s="1">
        <v>6.0</v>
      </c>
      <c r="D173" s="1" t="s">
        <v>22</v>
      </c>
      <c r="E173" s="1">
        <v>113735.8161577795</v>
      </c>
      <c r="F173" s="1">
        <v>119544.0197640804</v>
      </c>
      <c r="G173" s="1">
        <v>3578.0</v>
      </c>
      <c r="H173" s="1">
        <v>31.79</v>
      </c>
      <c r="I173" s="1">
        <v>33.41</v>
      </c>
      <c r="J173" s="1">
        <v>-1.62</v>
      </c>
      <c r="K173" s="1">
        <v>-5.11</v>
      </c>
      <c r="L173" s="1">
        <f t="shared" si="1"/>
        <v>-5808.203606</v>
      </c>
      <c r="M173" s="1" t="str">
        <f t="shared" si="2"/>
        <v>ON SALE</v>
      </c>
      <c r="N173" s="1">
        <f t="shared" si="3"/>
        <v>31.78753945</v>
      </c>
      <c r="O173" s="1">
        <f t="shared" si="4"/>
        <v>37.63531073</v>
      </c>
      <c r="P173" s="4">
        <f t="shared" si="5"/>
        <v>-0.04214516222</v>
      </c>
    </row>
    <row r="174" ht="15.75" customHeight="1">
      <c r="A174" s="3">
        <v>41810.0</v>
      </c>
      <c r="B174" s="1">
        <v>2014.0</v>
      </c>
      <c r="C174" s="1">
        <v>6.0</v>
      </c>
      <c r="D174" s="1" t="s">
        <v>22</v>
      </c>
      <c r="E174" s="1">
        <v>203165.08297513984</v>
      </c>
      <c r="F174" s="1">
        <v>205350.6430787224</v>
      </c>
      <c r="G174" s="1">
        <v>6119.0</v>
      </c>
      <c r="H174" s="1">
        <v>33.2</v>
      </c>
      <c r="I174" s="1">
        <v>33.56</v>
      </c>
      <c r="J174" s="1">
        <v>-0.36</v>
      </c>
      <c r="K174" s="1">
        <v>-1.08</v>
      </c>
      <c r="L174" s="1">
        <f t="shared" si="1"/>
        <v>-2185.560104</v>
      </c>
      <c r="M174" s="1" t="str">
        <f t="shared" si="2"/>
        <v>ON SALE</v>
      </c>
      <c r="N174" s="1">
        <f t="shared" si="3"/>
        <v>33.2023342</v>
      </c>
      <c r="O174" s="1">
        <f t="shared" si="4"/>
        <v>37.63897478</v>
      </c>
      <c r="P174" s="4">
        <f t="shared" si="5"/>
        <v>-0.04213835117</v>
      </c>
    </row>
    <row r="175" ht="15.75" customHeight="1">
      <c r="A175" s="3">
        <v>41811.0</v>
      </c>
      <c r="B175" s="1">
        <v>2014.0</v>
      </c>
      <c r="C175" s="1">
        <v>6.0</v>
      </c>
      <c r="D175" s="1" t="s">
        <v>22</v>
      </c>
      <c r="E175" s="1">
        <v>203345.24456475486</v>
      </c>
      <c r="F175" s="1">
        <v>206918.9125938658</v>
      </c>
      <c r="G175" s="1">
        <v>6161.0</v>
      </c>
      <c r="H175" s="1">
        <v>33.01</v>
      </c>
      <c r="I175" s="1">
        <v>33.59</v>
      </c>
      <c r="J175" s="1">
        <v>-0.58</v>
      </c>
      <c r="K175" s="1">
        <v>-1.76</v>
      </c>
      <c r="L175" s="1">
        <f t="shared" si="1"/>
        <v>-3573.668029</v>
      </c>
      <c r="M175" s="1" t="str">
        <f t="shared" si="2"/>
        <v>ON SALE</v>
      </c>
      <c r="N175" s="1">
        <f t="shared" si="3"/>
        <v>33.00523366</v>
      </c>
      <c r="O175" s="1">
        <f t="shared" si="4"/>
        <v>37.64503487</v>
      </c>
      <c r="P175" s="4">
        <f t="shared" si="5"/>
        <v>-0.04218120047</v>
      </c>
    </row>
    <row r="176" ht="15.75" customHeight="1">
      <c r="A176" s="3">
        <v>41812.0</v>
      </c>
      <c r="B176" s="1">
        <v>2014.0</v>
      </c>
      <c r="C176" s="1">
        <v>6.0</v>
      </c>
      <c r="D176" s="1" t="s">
        <v>22</v>
      </c>
      <c r="E176" s="1">
        <v>134944.48896695639</v>
      </c>
      <c r="F176" s="1">
        <v>135372.52702503128</v>
      </c>
      <c r="G176" s="1">
        <v>4015.0</v>
      </c>
      <c r="H176" s="1">
        <v>33.61</v>
      </c>
      <c r="I176" s="1">
        <v>33.72</v>
      </c>
      <c r="J176" s="1">
        <v>-0.11</v>
      </c>
      <c r="K176" s="1">
        <v>-0.32</v>
      </c>
      <c r="L176" s="1">
        <f t="shared" si="1"/>
        <v>-428.0380581</v>
      </c>
      <c r="M176" s="1" t="str">
        <f t="shared" si="2"/>
        <v>ON SALE</v>
      </c>
      <c r="N176" s="1">
        <f t="shared" si="3"/>
        <v>33.61008443</v>
      </c>
      <c r="O176" s="1">
        <f t="shared" si="4"/>
        <v>37.65111617</v>
      </c>
      <c r="P176" s="4">
        <f t="shared" si="5"/>
        <v>-0.04221487596</v>
      </c>
    </row>
    <row r="177" ht="15.75" customHeight="1">
      <c r="A177" s="3">
        <v>41813.0</v>
      </c>
      <c r="B177" s="1">
        <v>2014.0</v>
      </c>
      <c r="C177" s="1">
        <v>6.0</v>
      </c>
      <c r="D177" s="1" t="s">
        <v>22</v>
      </c>
      <c r="E177" s="1">
        <v>138298.21024496638</v>
      </c>
      <c r="F177" s="1">
        <v>139206.02689008065</v>
      </c>
      <c r="G177" s="1">
        <v>4133.0</v>
      </c>
      <c r="H177" s="1">
        <v>33.46</v>
      </c>
      <c r="I177" s="1">
        <v>33.68</v>
      </c>
      <c r="J177" s="1">
        <v>-0.22</v>
      </c>
      <c r="K177" s="1">
        <v>-0.66</v>
      </c>
      <c r="L177" s="1">
        <f t="shared" si="1"/>
        <v>-907.8166451</v>
      </c>
      <c r="M177" s="1" t="str">
        <f t="shared" si="2"/>
        <v>ON SALE</v>
      </c>
      <c r="N177" s="1">
        <f t="shared" si="3"/>
        <v>33.46194296</v>
      </c>
      <c r="O177" s="1">
        <f t="shared" si="4"/>
        <v>37.65496063</v>
      </c>
      <c r="P177" s="4">
        <f t="shared" si="5"/>
        <v>-0.04225036683</v>
      </c>
    </row>
    <row r="178" ht="15.75" customHeight="1">
      <c r="A178" s="3">
        <v>41814.0</v>
      </c>
      <c r="B178" s="1">
        <v>2014.0</v>
      </c>
      <c r="C178" s="1">
        <v>6.0</v>
      </c>
      <c r="D178" s="1" t="s">
        <v>22</v>
      </c>
      <c r="E178" s="1">
        <v>36692.67986190049</v>
      </c>
      <c r="F178" s="1">
        <v>35299.064235203216</v>
      </c>
      <c r="G178" s="1">
        <v>1047.0</v>
      </c>
      <c r="H178" s="1">
        <v>35.05</v>
      </c>
      <c r="I178" s="1">
        <v>33.71</v>
      </c>
      <c r="J178" s="1">
        <v>1.33</v>
      </c>
      <c r="K178" s="1">
        <v>3.8</v>
      </c>
      <c r="L178" s="1">
        <f t="shared" si="1"/>
        <v>1393.615627</v>
      </c>
      <c r="M178" s="1" t="str">
        <f t="shared" si="2"/>
        <v>Regular</v>
      </c>
      <c r="N178" s="1">
        <f t="shared" si="3"/>
        <v>35.04553951</v>
      </c>
      <c r="O178" s="1">
        <f t="shared" si="4"/>
        <v>37.65896128</v>
      </c>
      <c r="P178" s="4">
        <f t="shared" si="5"/>
        <v>-0.04228364355</v>
      </c>
    </row>
    <row r="179" ht="15.75" customHeight="1">
      <c r="A179" s="3">
        <v>41815.0</v>
      </c>
      <c r="B179" s="1">
        <v>2014.0</v>
      </c>
      <c r="C179" s="1">
        <v>6.0</v>
      </c>
      <c r="D179" s="1" t="s">
        <v>22</v>
      </c>
      <c r="E179" s="1">
        <v>56077.54269213074</v>
      </c>
      <c r="F179" s="1">
        <v>53925.25763103767</v>
      </c>
      <c r="G179" s="1">
        <v>1601.0</v>
      </c>
      <c r="H179" s="1">
        <v>35.03</v>
      </c>
      <c r="I179" s="1">
        <v>33.68</v>
      </c>
      <c r="J179" s="1">
        <v>1.34</v>
      </c>
      <c r="K179" s="1">
        <v>3.84</v>
      </c>
      <c r="L179" s="1">
        <f t="shared" si="1"/>
        <v>2152.285061</v>
      </c>
      <c r="M179" s="1" t="str">
        <f t="shared" si="2"/>
        <v>Regular</v>
      </c>
      <c r="N179" s="1">
        <f t="shared" si="3"/>
        <v>35.02657257</v>
      </c>
      <c r="O179" s="1">
        <f t="shared" si="4"/>
        <v>37.65996764</v>
      </c>
      <c r="P179" s="4">
        <f t="shared" si="5"/>
        <v>-0.04230350605</v>
      </c>
    </row>
    <row r="180" ht="15.75" customHeight="1">
      <c r="A180" s="3">
        <v>41816.0</v>
      </c>
      <c r="B180" s="1">
        <v>2014.0</v>
      </c>
      <c r="C180" s="1">
        <v>6.0</v>
      </c>
      <c r="D180" s="1" t="s">
        <v>22</v>
      </c>
      <c r="E180" s="1">
        <v>55780.707452340735</v>
      </c>
      <c r="F180" s="1">
        <v>53688.24119505065</v>
      </c>
      <c r="G180" s="1">
        <v>1592.0</v>
      </c>
      <c r="H180" s="1">
        <v>35.04</v>
      </c>
      <c r="I180" s="1">
        <v>33.72</v>
      </c>
      <c r="J180" s="1">
        <v>1.31</v>
      </c>
      <c r="K180" s="1">
        <v>3.75</v>
      </c>
      <c r="L180" s="1">
        <f t="shared" si="1"/>
        <v>2092.466257</v>
      </c>
      <c r="M180" s="1" t="str">
        <f t="shared" si="2"/>
        <v>Regular</v>
      </c>
      <c r="N180" s="1">
        <f t="shared" si="3"/>
        <v>35.03813282</v>
      </c>
      <c r="O180" s="1">
        <f t="shared" si="4"/>
        <v>37.66152008</v>
      </c>
      <c r="P180" s="4">
        <f t="shared" si="5"/>
        <v>-0.04233403221</v>
      </c>
    </row>
    <row r="181" ht="15.75" customHeight="1">
      <c r="A181" s="3">
        <v>41817.0</v>
      </c>
      <c r="B181" s="1">
        <v>2014.0</v>
      </c>
      <c r="C181" s="1">
        <v>6.0</v>
      </c>
      <c r="D181" s="1" t="s">
        <v>22</v>
      </c>
      <c r="E181" s="1">
        <v>131721.2383167888</v>
      </c>
      <c r="F181" s="1">
        <v>127302.42713472138</v>
      </c>
      <c r="G181" s="1">
        <v>3759.0</v>
      </c>
      <c r="H181" s="1">
        <v>35.04</v>
      </c>
      <c r="I181" s="1">
        <v>33.87</v>
      </c>
      <c r="J181" s="1">
        <v>1.18</v>
      </c>
      <c r="K181" s="1">
        <v>3.35</v>
      </c>
      <c r="L181" s="1">
        <f t="shared" si="1"/>
        <v>4418.811182</v>
      </c>
      <c r="M181" s="1" t="str">
        <f t="shared" si="2"/>
        <v>Regular</v>
      </c>
      <c r="N181" s="1">
        <f t="shared" si="3"/>
        <v>35.0415638</v>
      </c>
      <c r="O181" s="1">
        <f t="shared" si="4"/>
        <v>37.66304886</v>
      </c>
      <c r="P181" s="4">
        <f t="shared" si="5"/>
        <v>-0.04236409288</v>
      </c>
    </row>
    <row r="182" ht="15.75" customHeight="1">
      <c r="A182" s="3">
        <v>41818.0</v>
      </c>
      <c r="B182" s="1">
        <v>2014.0</v>
      </c>
      <c r="C182" s="1">
        <v>6.0</v>
      </c>
      <c r="D182" s="1" t="s">
        <v>22</v>
      </c>
      <c r="E182" s="1">
        <v>146169.07657195258</v>
      </c>
      <c r="F182" s="1">
        <v>141012.32941184982</v>
      </c>
      <c r="G182" s="1">
        <v>4172.0</v>
      </c>
      <c r="H182" s="1">
        <v>35.04</v>
      </c>
      <c r="I182" s="1">
        <v>33.8</v>
      </c>
      <c r="J182" s="1">
        <v>1.24</v>
      </c>
      <c r="K182" s="1">
        <v>3.53</v>
      </c>
      <c r="L182" s="1">
        <f t="shared" si="1"/>
        <v>5156.74716</v>
      </c>
      <c r="M182" s="1" t="str">
        <f t="shared" si="2"/>
        <v>Regular</v>
      </c>
      <c r="N182" s="1">
        <f t="shared" si="3"/>
        <v>35.03573264</v>
      </c>
      <c r="O182" s="1">
        <f t="shared" si="4"/>
        <v>37.66653278</v>
      </c>
      <c r="P182" s="4">
        <f t="shared" si="5"/>
        <v>-0.04243163967</v>
      </c>
    </row>
    <row r="183" ht="15.75" customHeight="1">
      <c r="A183" s="3">
        <v>41819.0</v>
      </c>
      <c r="B183" s="1">
        <v>2014.0</v>
      </c>
      <c r="C183" s="1">
        <v>6.0</v>
      </c>
      <c r="D183" s="1" t="s">
        <v>22</v>
      </c>
      <c r="E183" s="1">
        <v>62073.58541298098</v>
      </c>
      <c r="F183" s="1">
        <v>60083.86983686743</v>
      </c>
      <c r="G183" s="1">
        <v>1772.0</v>
      </c>
      <c r="H183" s="1">
        <v>35.03</v>
      </c>
      <c r="I183" s="1">
        <v>33.91</v>
      </c>
      <c r="J183" s="1">
        <v>1.12</v>
      </c>
      <c r="K183" s="1">
        <v>3.21</v>
      </c>
      <c r="L183" s="1">
        <f t="shared" si="1"/>
        <v>1989.715576</v>
      </c>
      <c r="M183" s="1" t="str">
        <f t="shared" si="2"/>
        <v>Regular</v>
      </c>
      <c r="N183" s="1">
        <f t="shared" si="3"/>
        <v>35.03024008</v>
      </c>
      <c r="O183" s="1">
        <f t="shared" si="4"/>
        <v>37.67047459</v>
      </c>
      <c r="P183" s="4">
        <f t="shared" si="5"/>
        <v>-0.04250844872</v>
      </c>
    </row>
    <row r="184" ht="15.75" customHeight="1">
      <c r="A184" s="3">
        <v>41820.0</v>
      </c>
      <c r="B184" s="1">
        <v>2014.0</v>
      </c>
      <c r="C184" s="1">
        <v>6.0</v>
      </c>
      <c r="D184" s="1" t="s">
        <v>22</v>
      </c>
      <c r="E184" s="1">
        <v>93619.84699129574</v>
      </c>
      <c r="F184" s="1">
        <v>90294.37608768833</v>
      </c>
      <c r="G184" s="1">
        <v>2672.0</v>
      </c>
      <c r="H184" s="1">
        <v>35.04</v>
      </c>
      <c r="I184" s="1">
        <v>33.79</v>
      </c>
      <c r="J184" s="1">
        <v>1.24</v>
      </c>
      <c r="K184" s="1">
        <v>3.55</v>
      </c>
      <c r="L184" s="1">
        <f t="shared" si="1"/>
        <v>3325.470904</v>
      </c>
      <c r="M184" s="1" t="str">
        <f t="shared" si="2"/>
        <v>Regular</v>
      </c>
      <c r="N184" s="1">
        <f t="shared" si="3"/>
        <v>35.03736789</v>
      </c>
      <c r="O184" s="1">
        <f t="shared" si="4"/>
        <v>37.67210462</v>
      </c>
      <c r="P184" s="4">
        <f t="shared" si="5"/>
        <v>-0.04253975883</v>
      </c>
    </row>
    <row r="185" ht="15.75" customHeight="1">
      <c r="A185" s="3">
        <v>41821.0</v>
      </c>
      <c r="B185" s="1">
        <v>2014.0</v>
      </c>
      <c r="C185" s="1">
        <v>7.0</v>
      </c>
      <c r="D185" s="1" t="s">
        <v>23</v>
      </c>
      <c r="E185" s="1">
        <v>180183.03135601137</v>
      </c>
      <c r="F185" s="1">
        <v>173842.92092590587</v>
      </c>
      <c r="G185" s="1">
        <v>5143.0</v>
      </c>
      <c r="H185" s="1">
        <v>35.03</v>
      </c>
      <c r="I185" s="1">
        <v>33.8</v>
      </c>
      <c r="J185" s="1">
        <v>1.23</v>
      </c>
      <c r="K185" s="1">
        <v>3.52</v>
      </c>
      <c r="L185" s="1">
        <f t="shared" si="1"/>
        <v>6340.11043</v>
      </c>
      <c r="M185" s="1" t="str">
        <f t="shared" si="2"/>
        <v>Regular</v>
      </c>
      <c r="N185" s="1">
        <f t="shared" si="3"/>
        <v>35.03461625</v>
      </c>
      <c r="O185" s="1">
        <f t="shared" si="4"/>
        <v>37.67464008</v>
      </c>
      <c r="P185" s="4">
        <f t="shared" si="5"/>
        <v>-0.04258922778</v>
      </c>
    </row>
    <row r="186" ht="15.75" customHeight="1">
      <c r="A186" s="3">
        <v>41822.0</v>
      </c>
      <c r="B186" s="1">
        <v>2014.0</v>
      </c>
      <c r="C186" s="1">
        <v>7.0</v>
      </c>
      <c r="D186" s="1" t="s">
        <v>23</v>
      </c>
      <c r="E186" s="1">
        <v>104760.70623579</v>
      </c>
      <c r="F186" s="1">
        <v>101615.73201573636</v>
      </c>
      <c r="G186" s="1">
        <v>2990.0</v>
      </c>
      <c r="H186" s="1">
        <v>35.04</v>
      </c>
      <c r="I186" s="1">
        <v>33.99</v>
      </c>
      <c r="J186" s="1">
        <v>1.05</v>
      </c>
      <c r="K186" s="1">
        <v>3.0</v>
      </c>
      <c r="L186" s="1">
        <f t="shared" si="1"/>
        <v>3144.97422</v>
      </c>
      <c r="M186" s="1" t="str">
        <f t="shared" si="2"/>
        <v>Regular</v>
      </c>
      <c r="N186" s="1">
        <f t="shared" si="3"/>
        <v>35.0370255</v>
      </c>
      <c r="O186" s="1">
        <f t="shared" si="4"/>
        <v>37.67951823</v>
      </c>
      <c r="P186" s="4">
        <f t="shared" si="5"/>
        <v>-0.0426842058</v>
      </c>
    </row>
    <row r="187" ht="15.75" customHeight="1">
      <c r="A187" s="3">
        <v>41823.0</v>
      </c>
      <c r="B187" s="1">
        <v>2014.0</v>
      </c>
      <c r="C187" s="1">
        <v>7.0</v>
      </c>
      <c r="D187" s="1" t="s">
        <v>23</v>
      </c>
      <c r="E187" s="1">
        <v>93450.5336849105</v>
      </c>
      <c r="F187" s="1">
        <v>90927.08965764765</v>
      </c>
      <c r="G187" s="1">
        <v>2667.0</v>
      </c>
      <c r="H187" s="1">
        <v>35.04</v>
      </c>
      <c r="I187" s="1">
        <v>34.09</v>
      </c>
      <c r="J187" s="1">
        <v>0.95</v>
      </c>
      <c r="K187" s="1">
        <v>2.7</v>
      </c>
      <c r="L187" s="1">
        <f t="shared" si="1"/>
        <v>2523.444027</v>
      </c>
      <c r="M187" s="1" t="str">
        <f t="shared" si="2"/>
        <v>Regular</v>
      </c>
      <c r="N187" s="1">
        <f t="shared" si="3"/>
        <v>35.03957019</v>
      </c>
      <c r="O187" s="1">
        <f t="shared" si="4"/>
        <v>37.68222554</v>
      </c>
      <c r="P187" s="4">
        <f t="shared" si="5"/>
        <v>-0.0427358631</v>
      </c>
    </row>
    <row r="188" ht="15.75" customHeight="1">
      <c r="A188" s="3">
        <v>41824.0</v>
      </c>
      <c r="B188" s="1">
        <v>2014.0</v>
      </c>
      <c r="C188" s="1">
        <v>7.0</v>
      </c>
      <c r="D188" s="1" t="s">
        <v>23</v>
      </c>
      <c r="E188" s="1">
        <v>98087.55590394074</v>
      </c>
      <c r="F188" s="1">
        <v>95423.27398722722</v>
      </c>
      <c r="G188" s="1">
        <v>2799.0</v>
      </c>
      <c r="H188" s="1">
        <v>35.04</v>
      </c>
      <c r="I188" s="1">
        <v>34.09</v>
      </c>
      <c r="J188" s="1">
        <v>0.95</v>
      </c>
      <c r="K188" s="1">
        <v>2.72</v>
      </c>
      <c r="L188" s="1">
        <f t="shared" si="1"/>
        <v>2664.281917</v>
      </c>
      <c r="M188" s="1" t="str">
        <f t="shared" si="2"/>
        <v>Regular</v>
      </c>
      <c r="N188" s="1">
        <f t="shared" si="3"/>
        <v>35.0437856</v>
      </c>
      <c r="O188" s="1">
        <f t="shared" si="4"/>
        <v>37.68457297</v>
      </c>
      <c r="P188" s="4">
        <f t="shared" si="5"/>
        <v>-0.04278009162</v>
      </c>
    </row>
    <row r="189" ht="15.75" customHeight="1">
      <c r="A189" s="3">
        <v>41825.0</v>
      </c>
      <c r="B189" s="1">
        <v>2014.0</v>
      </c>
      <c r="C189" s="1">
        <v>7.0</v>
      </c>
      <c r="D189" s="1" t="s">
        <v>23</v>
      </c>
      <c r="E189" s="1">
        <v>117562.26290534917</v>
      </c>
      <c r="F189" s="1">
        <v>114395.62762744626</v>
      </c>
      <c r="G189" s="1">
        <v>3355.0</v>
      </c>
      <c r="H189" s="1">
        <v>35.04</v>
      </c>
      <c r="I189" s="1">
        <v>34.1</v>
      </c>
      <c r="J189" s="1">
        <v>0.94</v>
      </c>
      <c r="K189" s="1">
        <v>2.69</v>
      </c>
      <c r="L189" s="1">
        <f t="shared" si="1"/>
        <v>3166.635278</v>
      </c>
      <c r="M189" s="1" t="str">
        <f t="shared" si="2"/>
        <v>Regular</v>
      </c>
      <c r="N189" s="1">
        <f t="shared" si="3"/>
        <v>35.04091294</v>
      </c>
      <c r="O189" s="1">
        <f t="shared" si="4"/>
        <v>37.68704091</v>
      </c>
      <c r="P189" s="4">
        <f t="shared" si="5"/>
        <v>-0.04282668125</v>
      </c>
    </row>
    <row r="190" ht="15.75" customHeight="1">
      <c r="A190" s="3">
        <v>41826.0</v>
      </c>
      <c r="B190" s="1">
        <v>2014.0</v>
      </c>
      <c r="C190" s="1">
        <v>7.0</v>
      </c>
      <c r="D190" s="1" t="s">
        <v>23</v>
      </c>
      <c r="E190" s="1">
        <v>70153.08097215135</v>
      </c>
      <c r="F190" s="1">
        <v>68252.24220948873</v>
      </c>
      <c r="G190" s="1">
        <v>2002.0</v>
      </c>
      <c r="H190" s="1">
        <v>35.04</v>
      </c>
      <c r="I190" s="1">
        <v>34.09</v>
      </c>
      <c r="J190" s="1">
        <v>0.95</v>
      </c>
      <c r="K190" s="1">
        <v>2.71</v>
      </c>
      <c r="L190" s="1">
        <f t="shared" si="1"/>
        <v>1900.838763</v>
      </c>
      <c r="M190" s="1" t="str">
        <f t="shared" si="2"/>
        <v>Regular</v>
      </c>
      <c r="N190" s="1">
        <f t="shared" si="3"/>
        <v>35.04149899</v>
      </c>
      <c r="O190" s="1">
        <f t="shared" si="4"/>
        <v>37.68999931</v>
      </c>
      <c r="P190" s="4">
        <f t="shared" si="5"/>
        <v>-0.04288242188</v>
      </c>
    </row>
    <row r="191" ht="15.75" customHeight="1">
      <c r="A191" s="3">
        <v>41827.0</v>
      </c>
      <c r="B191" s="1">
        <v>2014.0</v>
      </c>
      <c r="C191" s="1">
        <v>7.0</v>
      </c>
      <c r="D191" s="1" t="s">
        <v>23</v>
      </c>
      <c r="E191" s="1">
        <v>68918.41528749111</v>
      </c>
      <c r="F191" s="1">
        <v>66990.88135215205</v>
      </c>
      <c r="G191" s="1">
        <v>1967.0</v>
      </c>
      <c r="H191" s="1">
        <v>35.04</v>
      </c>
      <c r="I191" s="1">
        <v>34.06</v>
      </c>
      <c r="J191" s="1">
        <v>0.98</v>
      </c>
      <c r="K191" s="1">
        <v>2.8</v>
      </c>
      <c r="L191" s="1">
        <f t="shared" si="1"/>
        <v>1927.533935</v>
      </c>
      <c r="M191" s="1" t="str">
        <f t="shared" si="2"/>
        <v>Regular</v>
      </c>
      <c r="N191" s="1">
        <f t="shared" si="3"/>
        <v>35.03732348</v>
      </c>
      <c r="O191" s="1">
        <f t="shared" si="4"/>
        <v>37.69176945</v>
      </c>
      <c r="P191" s="4">
        <f t="shared" si="5"/>
        <v>-0.04291580272</v>
      </c>
    </row>
    <row r="192" ht="15.75" customHeight="1">
      <c r="A192" s="3">
        <v>41828.0</v>
      </c>
      <c r="B192" s="1">
        <v>2014.0</v>
      </c>
      <c r="C192" s="1">
        <v>7.0</v>
      </c>
      <c r="D192" s="1" t="s">
        <v>23</v>
      </c>
      <c r="E192" s="1">
        <v>108417.40283335964</v>
      </c>
      <c r="F192" s="1">
        <v>105373.30003337098</v>
      </c>
      <c r="G192" s="1">
        <v>3094.0</v>
      </c>
      <c r="H192" s="1">
        <v>35.04</v>
      </c>
      <c r="I192" s="1">
        <v>34.06</v>
      </c>
      <c r="J192" s="1">
        <v>0.98</v>
      </c>
      <c r="K192" s="1">
        <v>2.81</v>
      </c>
      <c r="L192" s="1">
        <f t="shared" si="1"/>
        <v>3044.1028</v>
      </c>
      <c r="M192" s="1" t="str">
        <f t="shared" si="2"/>
        <v>Regular</v>
      </c>
      <c r="N192" s="1">
        <f t="shared" si="3"/>
        <v>35.04117739</v>
      </c>
      <c r="O192" s="1">
        <f t="shared" si="4"/>
        <v>37.6935271</v>
      </c>
      <c r="P192" s="4">
        <f t="shared" si="5"/>
        <v>-0.04294903629</v>
      </c>
    </row>
    <row r="193" ht="15.75" customHeight="1">
      <c r="A193" s="3">
        <v>41829.0</v>
      </c>
      <c r="B193" s="1">
        <v>2014.0</v>
      </c>
      <c r="C193" s="1">
        <v>7.0</v>
      </c>
      <c r="D193" s="1" t="s">
        <v>23</v>
      </c>
      <c r="E193" s="1">
        <v>81802.6082085011</v>
      </c>
      <c r="F193" s="1">
        <v>79496.49424396551</v>
      </c>
      <c r="G193" s="1">
        <v>2335.0</v>
      </c>
      <c r="H193" s="1">
        <v>35.03</v>
      </c>
      <c r="I193" s="1">
        <v>34.05</v>
      </c>
      <c r="J193" s="1">
        <v>0.99</v>
      </c>
      <c r="K193" s="1">
        <v>2.82</v>
      </c>
      <c r="L193" s="1">
        <f t="shared" si="1"/>
        <v>2306.113965</v>
      </c>
      <c r="M193" s="1" t="str">
        <f t="shared" si="2"/>
        <v>Regular</v>
      </c>
      <c r="N193" s="1">
        <f t="shared" si="3"/>
        <v>35.03323692</v>
      </c>
      <c r="O193" s="1">
        <f t="shared" si="4"/>
        <v>37.6962953</v>
      </c>
      <c r="P193" s="4">
        <f t="shared" si="5"/>
        <v>-0.04300146067</v>
      </c>
    </row>
    <row r="194" ht="15.75" customHeight="1">
      <c r="A194" s="3">
        <v>41830.0</v>
      </c>
      <c r="B194" s="1">
        <v>2014.0</v>
      </c>
      <c r="C194" s="1">
        <v>7.0</v>
      </c>
      <c r="D194" s="1" t="s">
        <v>23</v>
      </c>
      <c r="E194" s="1">
        <v>103998.55973343049</v>
      </c>
      <c r="F194" s="1">
        <v>101270.97105094598</v>
      </c>
      <c r="G194" s="1">
        <v>2968.0</v>
      </c>
      <c r="H194" s="1">
        <v>35.04</v>
      </c>
      <c r="I194" s="1">
        <v>34.12</v>
      </c>
      <c r="J194" s="1">
        <v>0.92</v>
      </c>
      <c r="K194" s="1">
        <v>2.62</v>
      </c>
      <c r="L194" s="1">
        <f t="shared" si="1"/>
        <v>2727.588682</v>
      </c>
      <c r="M194" s="1" t="str">
        <f t="shared" si="2"/>
        <v>Regular</v>
      </c>
      <c r="N194" s="1">
        <f t="shared" si="3"/>
        <v>35.039946</v>
      </c>
      <c r="O194" s="1">
        <f t="shared" si="4"/>
        <v>37.69839394</v>
      </c>
      <c r="P194" s="4">
        <f t="shared" si="5"/>
        <v>-0.04304113023</v>
      </c>
    </row>
    <row r="195" ht="15.75" customHeight="1">
      <c r="A195" s="3">
        <v>41831.0</v>
      </c>
      <c r="B195" s="1">
        <v>2014.0</v>
      </c>
      <c r="C195" s="1">
        <v>7.0</v>
      </c>
      <c r="D195" s="1" t="s">
        <v>23</v>
      </c>
      <c r="E195" s="1">
        <v>134018.08926347757</v>
      </c>
      <c r="F195" s="1">
        <v>130633.26271454827</v>
      </c>
      <c r="G195" s="1">
        <v>3825.0</v>
      </c>
      <c r="H195" s="1">
        <v>35.04</v>
      </c>
      <c r="I195" s="1">
        <v>34.15</v>
      </c>
      <c r="J195" s="1">
        <v>0.88</v>
      </c>
      <c r="K195" s="1">
        <v>2.53</v>
      </c>
      <c r="L195" s="1">
        <f t="shared" si="1"/>
        <v>3384.826549</v>
      </c>
      <c r="M195" s="1" t="str">
        <f t="shared" si="2"/>
        <v>Regular</v>
      </c>
      <c r="N195" s="1">
        <f t="shared" si="3"/>
        <v>35.03740896</v>
      </c>
      <c r="O195" s="1">
        <f t="shared" si="4"/>
        <v>37.7010099</v>
      </c>
      <c r="P195" s="4">
        <f t="shared" si="5"/>
        <v>-0.0430902351</v>
      </c>
    </row>
    <row r="196" ht="15.75" customHeight="1">
      <c r="A196" s="3">
        <v>41832.0</v>
      </c>
      <c r="B196" s="1">
        <v>2014.0</v>
      </c>
      <c r="C196" s="1">
        <v>7.0</v>
      </c>
      <c r="D196" s="1" t="s">
        <v>23</v>
      </c>
      <c r="E196" s="1">
        <v>99277.29950301051</v>
      </c>
      <c r="F196" s="1">
        <v>96688.49781301751</v>
      </c>
      <c r="G196" s="1">
        <v>2833.0</v>
      </c>
      <c r="H196" s="1">
        <v>35.04</v>
      </c>
      <c r="I196" s="1">
        <v>34.13</v>
      </c>
      <c r="J196" s="1">
        <v>0.91</v>
      </c>
      <c r="K196" s="1">
        <v>2.61</v>
      </c>
      <c r="L196" s="1">
        <f t="shared" si="1"/>
        <v>2588.80169</v>
      </c>
      <c r="M196" s="1" t="str">
        <f t="shared" si="2"/>
        <v>Regular</v>
      </c>
      <c r="N196" s="1">
        <f t="shared" si="3"/>
        <v>35.04316961</v>
      </c>
      <c r="O196" s="1">
        <f t="shared" si="4"/>
        <v>37.7043571</v>
      </c>
      <c r="P196" s="4">
        <f t="shared" si="5"/>
        <v>-0.04315272945</v>
      </c>
    </row>
    <row r="197" ht="15.75" customHeight="1">
      <c r="A197" s="3">
        <v>41833.0</v>
      </c>
      <c r="B197" s="1">
        <v>2014.0</v>
      </c>
      <c r="C197" s="1">
        <v>7.0</v>
      </c>
      <c r="D197" s="1" t="s">
        <v>23</v>
      </c>
      <c r="E197" s="1">
        <v>49705.23199992073</v>
      </c>
      <c r="F197" s="1">
        <v>48370.308994006264</v>
      </c>
      <c r="G197" s="1">
        <v>1419.0</v>
      </c>
      <c r="H197" s="1">
        <v>35.03</v>
      </c>
      <c r="I197" s="1">
        <v>34.09</v>
      </c>
      <c r="J197" s="1">
        <v>0.94</v>
      </c>
      <c r="K197" s="1">
        <v>2.69</v>
      </c>
      <c r="L197" s="1">
        <f t="shared" si="1"/>
        <v>1334.923006</v>
      </c>
      <c r="M197" s="1" t="str">
        <f t="shared" si="2"/>
        <v>Regular</v>
      </c>
      <c r="N197" s="1">
        <f t="shared" si="3"/>
        <v>35.02835236</v>
      </c>
      <c r="O197" s="1">
        <f t="shared" si="4"/>
        <v>37.70685646</v>
      </c>
      <c r="P197" s="4">
        <f t="shared" si="5"/>
        <v>-0.04319965325</v>
      </c>
    </row>
    <row r="198" ht="15.75" customHeight="1">
      <c r="A198" s="3">
        <v>41834.0</v>
      </c>
      <c r="B198" s="1">
        <v>2014.0</v>
      </c>
      <c r="C198" s="1">
        <v>7.0</v>
      </c>
      <c r="D198" s="1" t="s">
        <v>23</v>
      </c>
      <c r="E198" s="1">
        <v>75384.57455073134</v>
      </c>
      <c r="F198" s="1">
        <v>73393.44659366891</v>
      </c>
      <c r="G198" s="1">
        <v>2151.0</v>
      </c>
      <c r="H198" s="1">
        <v>35.05</v>
      </c>
      <c r="I198" s="1">
        <v>34.12</v>
      </c>
      <c r="J198" s="1">
        <v>0.93</v>
      </c>
      <c r="K198" s="1">
        <v>2.64</v>
      </c>
      <c r="L198" s="1">
        <f t="shared" si="1"/>
        <v>1991.127957</v>
      </c>
      <c r="M198" s="1" t="str">
        <f t="shared" si="2"/>
        <v>Regular</v>
      </c>
      <c r="N198" s="1">
        <f t="shared" si="3"/>
        <v>35.04629221</v>
      </c>
      <c r="O198" s="1">
        <f t="shared" si="4"/>
        <v>37.70812429</v>
      </c>
      <c r="P198" s="4">
        <f t="shared" si="5"/>
        <v>-0.04322343542</v>
      </c>
    </row>
    <row r="199" ht="15.75" customHeight="1">
      <c r="A199" s="3">
        <v>41835.0</v>
      </c>
      <c r="B199" s="1">
        <v>2014.0</v>
      </c>
      <c r="C199" s="1">
        <v>7.0</v>
      </c>
      <c r="D199" s="1" t="s">
        <v>23</v>
      </c>
      <c r="E199" s="1">
        <v>110288.23417419061</v>
      </c>
      <c r="F199" s="1">
        <v>107437.3809516128</v>
      </c>
      <c r="G199" s="1">
        <v>3148.0</v>
      </c>
      <c r="H199" s="1">
        <v>35.03</v>
      </c>
      <c r="I199" s="1">
        <v>34.13</v>
      </c>
      <c r="J199" s="1">
        <v>0.91</v>
      </c>
      <c r="K199" s="1">
        <v>2.58</v>
      </c>
      <c r="L199" s="1">
        <f t="shared" si="1"/>
        <v>2850.853223</v>
      </c>
      <c r="M199" s="1" t="str">
        <f t="shared" si="2"/>
        <v>Regular</v>
      </c>
      <c r="N199" s="1">
        <f t="shared" si="3"/>
        <v>35.03438189</v>
      </c>
      <c r="O199" s="1">
        <f t="shared" si="4"/>
        <v>37.71003028</v>
      </c>
      <c r="P199" s="4">
        <f t="shared" si="5"/>
        <v>-0.04325930642</v>
      </c>
    </row>
    <row r="200" ht="15.75" customHeight="1">
      <c r="A200" s="3">
        <v>41836.0</v>
      </c>
      <c r="B200" s="1">
        <v>2014.0</v>
      </c>
      <c r="C200" s="1">
        <v>7.0</v>
      </c>
      <c r="D200" s="1" t="s">
        <v>23</v>
      </c>
      <c r="E200" s="1">
        <v>156536.68620542108</v>
      </c>
      <c r="F200" s="1">
        <v>164641.35398748523</v>
      </c>
      <c r="G200" s="1">
        <v>4825.0</v>
      </c>
      <c r="H200" s="1">
        <v>32.44</v>
      </c>
      <c r="I200" s="1">
        <v>34.12</v>
      </c>
      <c r="J200" s="1">
        <v>-1.68</v>
      </c>
      <c r="K200" s="1">
        <v>-5.18</v>
      </c>
      <c r="L200" s="1">
        <f t="shared" si="1"/>
        <v>-8104.667782</v>
      </c>
      <c r="M200" s="1" t="str">
        <f t="shared" si="2"/>
        <v>ON SALE</v>
      </c>
      <c r="N200" s="1">
        <f t="shared" si="3"/>
        <v>32.44283652</v>
      </c>
      <c r="O200" s="1">
        <f t="shared" si="4"/>
        <v>37.71281703</v>
      </c>
      <c r="P200" s="4">
        <f t="shared" si="5"/>
        <v>-0.04331142739</v>
      </c>
    </row>
    <row r="201" ht="15.75" customHeight="1">
      <c r="A201" s="3">
        <v>41837.0</v>
      </c>
      <c r="B201" s="1">
        <v>2014.0</v>
      </c>
      <c r="C201" s="1">
        <v>7.0</v>
      </c>
      <c r="D201" s="1" t="s">
        <v>23</v>
      </c>
      <c r="E201" s="1">
        <v>80823.05919792122</v>
      </c>
      <c r="F201" s="1">
        <v>78844.86050033744</v>
      </c>
      <c r="G201" s="1">
        <v>2307.0</v>
      </c>
      <c r="H201" s="1">
        <v>35.03</v>
      </c>
      <c r="I201" s="1">
        <v>34.18</v>
      </c>
      <c r="J201" s="1">
        <v>0.86</v>
      </c>
      <c r="K201" s="1">
        <v>2.45</v>
      </c>
      <c r="L201" s="1">
        <f t="shared" si="1"/>
        <v>1978.198698</v>
      </c>
      <c r="M201" s="1" t="str">
        <f t="shared" si="2"/>
        <v>Regular</v>
      </c>
      <c r="N201" s="1">
        <f t="shared" si="3"/>
        <v>35.0338358</v>
      </c>
      <c r="O201" s="1">
        <f t="shared" si="4"/>
        <v>37.71710418</v>
      </c>
      <c r="P201" s="4">
        <f t="shared" si="5"/>
        <v>-0.04330235794</v>
      </c>
    </row>
    <row r="202" ht="15.75" customHeight="1">
      <c r="A202" s="3">
        <v>41838.0</v>
      </c>
      <c r="B202" s="1">
        <v>2014.0</v>
      </c>
      <c r="C202" s="1">
        <v>7.0</v>
      </c>
      <c r="D202" s="1" t="s">
        <v>23</v>
      </c>
      <c r="E202" s="1">
        <v>124615.6856084088</v>
      </c>
      <c r="F202" s="1">
        <v>121612.17892455596</v>
      </c>
      <c r="G202" s="1">
        <v>3557.0</v>
      </c>
      <c r="H202" s="1">
        <v>35.03</v>
      </c>
      <c r="I202" s="1">
        <v>34.19</v>
      </c>
      <c r="J202" s="1">
        <v>0.84</v>
      </c>
      <c r="K202" s="1">
        <v>2.41</v>
      </c>
      <c r="L202" s="1">
        <f t="shared" si="1"/>
        <v>3003.506684</v>
      </c>
      <c r="M202" s="1" t="str">
        <f t="shared" si="2"/>
        <v>Regular</v>
      </c>
      <c r="N202" s="1">
        <f t="shared" si="3"/>
        <v>35.03392904</v>
      </c>
      <c r="O202" s="1">
        <f t="shared" si="4"/>
        <v>37.7191269</v>
      </c>
      <c r="P202" s="4">
        <f t="shared" si="5"/>
        <v>-0.04333987961</v>
      </c>
    </row>
    <row r="203" ht="15.75" customHeight="1">
      <c r="A203" s="3">
        <v>41839.0</v>
      </c>
      <c r="B203" s="1">
        <v>2014.0</v>
      </c>
      <c r="C203" s="1">
        <v>7.0</v>
      </c>
      <c r="D203" s="1" t="s">
        <v>23</v>
      </c>
      <c r="E203" s="1">
        <v>242758.9505283758</v>
      </c>
      <c r="F203" s="1">
        <v>255779.85446049325</v>
      </c>
      <c r="G203" s="1">
        <v>7485.0</v>
      </c>
      <c r="H203" s="1">
        <v>32.43</v>
      </c>
      <c r="I203" s="1">
        <v>34.17</v>
      </c>
      <c r="J203" s="1">
        <v>-1.74</v>
      </c>
      <c r="K203" s="1">
        <v>-5.36</v>
      </c>
      <c r="L203" s="1">
        <f t="shared" si="1"/>
        <v>-13020.90393</v>
      </c>
      <c r="M203" s="1" t="str">
        <f t="shared" si="2"/>
        <v>ON SALE</v>
      </c>
      <c r="N203" s="1">
        <f t="shared" si="3"/>
        <v>32.43272552</v>
      </c>
      <c r="O203" s="1">
        <f t="shared" si="4"/>
        <v>37.72223851</v>
      </c>
      <c r="P203" s="4">
        <f t="shared" si="5"/>
        <v>-0.04339749414</v>
      </c>
    </row>
    <row r="204" ht="15.75" customHeight="1">
      <c r="A204" s="3">
        <v>41840.0</v>
      </c>
      <c r="B204" s="1">
        <v>2014.0</v>
      </c>
      <c r="C204" s="1">
        <v>7.0</v>
      </c>
      <c r="D204" s="1" t="s">
        <v>23</v>
      </c>
      <c r="E204" s="1">
        <v>85078.24368943609</v>
      </c>
      <c r="F204" s="1">
        <v>83020.51412546248</v>
      </c>
      <c r="G204" s="1">
        <v>2428.0</v>
      </c>
      <c r="H204" s="1">
        <v>35.04</v>
      </c>
      <c r="I204" s="1">
        <v>34.19</v>
      </c>
      <c r="J204" s="1">
        <v>0.85</v>
      </c>
      <c r="K204" s="1">
        <v>2.42</v>
      </c>
      <c r="L204" s="1">
        <f t="shared" si="1"/>
        <v>2057.729564</v>
      </c>
      <c r="M204" s="1" t="str">
        <f t="shared" si="2"/>
        <v>Regular</v>
      </c>
      <c r="N204" s="1">
        <f t="shared" si="3"/>
        <v>35.0404628</v>
      </c>
      <c r="O204" s="1">
        <f t="shared" si="4"/>
        <v>37.7288362</v>
      </c>
      <c r="P204" s="4">
        <f t="shared" si="5"/>
        <v>-0.04338042492</v>
      </c>
    </row>
    <row r="205" ht="15.75" customHeight="1">
      <c r="A205" s="3">
        <v>41841.0</v>
      </c>
      <c r="B205" s="1">
        <v>2014.0</v>
      </c>
      <c r="C205" s="1">
        <v>7.0</v>
      </c>
      <c r="D205" s="1" t="s">
        <v>23</v>
      </c>
      <c r="E205" s="1">
        <v>86738.06742726086</v>
      </c>
      <c r="F205" s="1">
        <v>84643.27182721549</v>
      </c>
      <c r="G205" s="1">
        <v>2475.0</v>
      </c>
      <c r="H205" s="1">
        <v>35.05</v>
      </c>
      <c r="I205" s="1">
        <v>34.2</v>
      </c>
      <c r="J205" s="1">
        <v>0.85</v>
      </c>
      <c r="K205" s="1">
        <v>2.42</v>
      </c>
      <c r="L205" s="1">
        <f t="shared" si="1"/>
        <v>2094.7956</v>
      </c>
      <c r="M205" s="1" t="str">
        <f t="shared" si="2"/>
        <v>Regular</v>
      </c>
      <c r="N205" s="1">
        <f t="shared" si="3"/>
        <v>35.04568381</v>
      </c>
      <c r="O205" s="1">
        <f t="shared" si="4"/>
        <v>37.7309692</v>
      </c>
      <c r="P205" s="4">
        <f t="shared" si="5"/>
        <v>-0.04341992131</v>
      </c>
    </row>
    <row r="206" ht="15.75" customHeight="1">
      <c r="A206" s="3">
        <v>41842.0</v>
      </c>
      <c r="B206" s="1">
        <v>2014.0</v>
      </c>
      <c r="C206" s="1">
        <v>7.0</v>
      </c>
      <c r="D206" s="1" t="s">
        <v>23</v>
      </c>
      <c r="E206" s="1">
        <v>56673.61581162085</v>
      </c>
      <c r="F206" s="1">
        <v>55278.70782923058</v>
      </c>
      <c r="G206" s="1">
        <v>1618.0</v>
      </c>
      <c r="H206" s="1">
        <v>35.03</v>
      </c>
      <c r="I206" s="1">
        <v>34.16</v>
      </c>
      <c r="J206" s="1">
        <v>0.86</v>
      </c>
      <c r="K206" s="1">
        <v>2.46</v>
      </c>
      <c r="L206" s="1">
        <f t="shared" si="1"/>
        <v>1394.907982</v>
      </c>
      <c r="M206" s="1" t="str">
        <f t="shared" si="2"/>
        <v>Regular</v>
      </c>
      <c r="N206" s="1">
        <f t="shared" si="3"/>
        <v>35.02695662</v>
      </c>
      <c r="O206" s="1">
        <f t="shared" si="4"/>
        <v>37.73314223</v>
      </c>
      <c r="P206" s="4">
        <f t="shared" si="5"/>
        <v>-0.04346021464</v>
      </c>
    </row>
    <row r="207" ht="15.75" customHeight="1">
      <c r="A207" s="3">
        <v>41843.0</v>
      </c>
      <c r="B207" s="1">
        <v>2014.0</v>
      </c>
      <c r="C207" s="1">
        <v>7.0</v>
      </c>
      <c r="D207" s="1" t="s">
        <v>23</v>
      </c>
      <c r="E207" s="1">
        <v>165742.17046423352</v>
      </c>
      <c r="F207" s="1">
        <v>173725.35752062302</v>
      </c>
      <c r="G207" s="1">
        <v>5106.0</v>
      </c>
      <c r="H207" s="1">
        <v>32.46</v>
      </c>
      <c r="I207" s="1">
        <v>34.02</v>
      </c>
      <c r="J207" s="1">
        <v>-1.56</v>
      </c>
      <c r="K207" s="1">
        <v>-4.82</v>
      </c>
      <c r="L207" s="1">
        <f t="shared" si="1"/>
        <v>-7983.187056</v>
      </c>
      <c r="M207" s="1" t="str">
        <f t="shared" si="2"/>
        <v>ON SALE</v>
      </c>
      <c r="N207" s="1">
        <f t="shared" si="3"/>
        <v>32.46027624</v>
      </c>
      <c r="O207" s="1">
        <f t="shared" si="4"/>
        <v>37.73457814</v>
      </c>
      <c r="P207" s="4">
        <f t="shared" si="5"/>
        <v>-0.04348674794</v>
      </c>
    </row>
    <row r="208" ht="15.75" customHeight="1">
      <c r="A208" s="3">
        <v>41844.0</v>
      </c>
      <c r="B208" s="1">
        <v>2014.0</v>
      </c>
      <c r="C208" s="1">
        <v>7.0</v>
      </c>
      <c r="D208" s="1" t="s">
        <v>23</v>
      </c>
      <c r="E208" s="1">
        <v>95618.24880371086</v>
      </c>
      <c r="F208" s="1">
        <v>92416.90383823749</v>
      </c>
      <c r="G208" s="1">
        <v>2729.0</v>
      </c>
      <c r="H208" s="1">
        <v>35.04</v>
      </c>
      <c r="I208" s="1">
        <v>33.86</v>
      </c>
      <c r="J208" s="1">
        <v>1.17</v>
      </c>
      <c r="K208" s="1">
        <v>3.35</v>
      </c>
      <c r="L208" s="1">
        <f t="shared" si="1"/>
        <v>3201.344965</v>
      </c>
      <c r="M208" s="1" t="str">
        <f t="shared" si="2"/>
        <v>Regular</v>
      </c>
      <c r="N208" s="1">
        <f t="shared" si="3"/>
        <v>35.03783393</v>
      </c>
      <c r="O208" s="1">
        <f t="shared" si="4"/>
        <v>37.73929647</v>
      </c>
      <c r="P208" s="4">
        <f t="shared" si="5"/>
        <v>-0.04348140763</v>
      </c>
    </row>
    <row r="209" ht="15.75" customHeight="1">
      <c r="A209" s="3">
        <v>41845.0</v>
      </c>
      <c r="B209" s="1">
        <v>2014.0</v>
      </c>
      <c r="C209" s="1">
        <v>7.0</v>
      </c>
      <c r="D209" s="1" t="s">
        <v>23</v>
      </c>
      <c r="E209" s="1">
        <v>515698.7957661752</v>
      </c>
      <c r="F209" s="1">
        <v>538260.2718039068</v>
      </c>
      <c r="G209" s="1">
        <v>15897.0</v>
      </c>
      <c r="H209" s="1">
        <v>32.44</v>
      </c>
      <c r="I209" s="1">
        <v>33.86</v>
      </c>
      <c r="J209" s="1">
        <v>-1.42</v>
      </c>
      <c r="K209" s="1">
        <v>-4.37</v>
      </c>
      <c r="L209" s="1">
        <f t="shared" si="1"/>
        <v>-22561.47604</v>
      </c>
      <c r="M209" s="1" t="str">
        <f t="shared" si="2"/>
        <v>ON SALE</v>
      </c>
      <c r="N209" s="1">
        <f t="shared" si="3"/>
        <v>32.44000728</v>
      </c>
      <c r="O209" s="1">
        <f t="shared" si="4"/>
        <v>37.74193133</v>
      </c>
      <c r="P209" s="4">
        <f t="shared" si="5"/>
        <v>-0.04353211042</v>
      </c>
    </row>
    <row r="210" ht="15.75" customHeight="1">
      <c r="A210" s="3">
        <v>41846.0</v>
      </c>
      <c r="B210" s="1">
        <v>2014.0</v>
      </c>
      <c r="C210" s="1">
        <v>7.0</v>
      </c>
      <c r="D210" s="1" t="s">
        <v>23</v>
      </c>
      <c r="E210" s="1">
        <v>562590.3665478406</v>
      </c>
      <c r="F210" s="1">
        <v>586670.514084788</v>
      </c>
      <c r="G210" s="1">
        <v>17343.0</v>
      </c>
      <c r="H210" s="1">
        <v>32.44</v>
      </c>
      <c r="I210" s="1">
        <v>33.83</v>
      </c>
      <c r="J210" s="1">
        <v>-1.39</v>
      </c>
      <c r="K210" s="1">
        <v>-4.28</v>
      </c>
      <c r="L210" s="1">
        <f t="shared" si="1"/>
        <v>-24080.14754</v>
      </c>
      <c r="M210" s="1" t="str">
        <f t="shared" si="2"/>
        <v>ON SALE</v>
      </c>
      <c r="N210" s="1">
        <f t="shared" si="3"/>
        <v>32.43904553</v>
      </c>
      <c r="O210" s="1">
        <f t="shared" si="4"/>
        <v>37.75737342</v>
      </c>
      <c r="P210" s="4">
        <f t="shared" si="5"/>
        <v>-0.04353133586</v>
      </c>
    </row>
    <row r="211" ht="15.75" customHeight="1">
      <c r="A211" s="3">
        <v>41847.0</v>
      </c>
      <c r="B211" s="1">
        <v>2014.0</v>
      </c>
      <c r="C211" s="1">
        <v>7.0</v>
      </c>
      <c r="D211" s="1" t="s">
        <v>23</v>
      </c>
      <c r="E211" s="1">
        <v>266305.92588997324</v>
      </c>
      <c r="F211" s="1">
        <v>277238.0103614798</v>
      </c>
      <c r="G211" s="1">
        <v>8207.0</v>
      </c>
      <c r="H211" s="1">
        <v>32.45</v>
      </c>
      <c r="I211" s="1">
        <v>33.78</v>
      </c>
      <c r="J211" s="1">
        <v>-1.33</v>
      </c>
      <c r="K211" s="1">
        <v>-4.11</v>
      </c>
      <c r="L211" s="1">
        <f t="shared" si="1"/>
        <v>-10932.08447</v>
      </c>
      <c r="M211" s="1" t="str">
        <f t="shared" si="2"/>
        <v>ON SALE</v>
      </c>
      <c r="N211" s="1">
        <f t="shared" si="3"/>
        <v>32.44863237</v>
      </c>
      <c r="O211" s="1">
        <f t="shared" si="4"/>
        <v>37.77449909</v>
      </c>
      <c r="P211" s="4">
        <f t="shared" si="5"/>
        <v>-0.04353418301</v>
      </c>
    </row>
    <row r="212" ht="15.75" customHeight="1">
      <c r="A212" s="3">
        <v>41848.0</v>
      </c>
      <c r="B212" s="1">
        <v>2014.0</v>
      </c>
      <c r="C212" s="1">
        <v>7.0</v>
      </c>
      <c r="D212" s="1" t="s">
        <v>23</v>
      </c>
      <c r="E212" s="1">
        <v>292634.7456928194</v>
      </c>
      <c r="F212" s="1">
        <v>304508.379030808</v>
      </c>
      <c r="G212" s="1">
        <v>9018.0</v>
      </c>
      <c r="H212" s="1">
        <v>32.45</v>
      </c>
      <c r="I212" s="1">
        <v>33.77</v>
      </c>
      <c r="J212" s="1">
        <v>-1.32</v>
      </c>
      <c r="K212" s="1">
        <v>-4.06</v>
      </c>
      <c r="L212" s="1">
        <f t="shared" si="1"/>
        <v>-11873.63334</v>
      </c>
      <c r="M212" s="1" t="str">
        <f t="shared" si="2"/>
        <v>ON SALE</v>
      </c>
      <c r="N212" s="1">
        <f t="shared" si="3"/>
        <v>32.4500716</v>
      </c>
      <c r="O212" s="1">
        <f t="shared" si="4"/>
        <v>37.78275216</v>
      </c>
      <c r="P212" s="4">
        <f t="shared" si="5"/>
        <v>-0.04353878211</v>
      </c>
    </row>
    <row r="213" ht="15.75" customHeight="1">
      <c r="A213" s="3">
        <v>41849.0</v>
      </c>
      <c r="B213" s="1">
        <v>2014.0</v>
      </c>
      <c r="C213" s="1">
        <v>7.0</v>
      </c>
      <c r="D213" s="1" t="s">
        <v>23</v>
      </c>
      <c r="E213" s="1">
        <v>212360.99307795215</v>
      </c>
      <c r="F213" s="1">
        <v>221017.07309976683</v>
      </c>
      <c r="G213" s="1">
        <v>6548.0</v>
      </c>
      <c r="H213" s="1">
        <v>32.43</v>
      </c>
      <c r="I213" s="1">
        <v>33.75</v>
      </c>
      <c r="J213" s="1">
        <v>-1.32</v>
      </c>
      <c r="K213" s="1">
        <v>-4.08</v>
      </c>
      <c r="L213" s="1">
        <f t="shared" si="1"/>
        <v>-8656.080022</v>
      </c>
      <c r="M213" s="1" t="str">
        <f t="shared" si="2"/>
        <v>ON SALE</v>
      </c>
      <c r="N213" s="1">
        <f t="shared" si="3"/>
        <v>32.43142839</v>
      </c>
      <c r="O213" s="1">
        <f t="shared" si="4"/>
        <v>37.79189195</v>
      </c>
      <c r="P213" s="4">
        <f t="shared" si="5"/>
        <v>-0.04354482612</v>
      </c>
    </row>
    <row r="214" ht="15.75" customHeight="1">
      <c r="A214" s="3">
        <v>41850.0</v>
      </c>
      <c r="B214" s="1">
        <v>2014.0</v>
      </c>
      <c r="C214" s="1">
        <v>7.0</v>
      </c>
      <c r="D214" s="1" t="s">
        <v>23</v>
      </c>
      <c r="E214" s="1">
        <v>198019.33209153594</v>
      </c>
      <c r="F214" s="1">
        <v>205903.82494520774</v>
      </c>
      <c r="G214" s="1">
        <v>6102.0</v>
      </c>
      <c r="H214" s="1">
        <v>32.45</v>
      </c>
      <c r="I214" s="1">
        <v>33.74</v>
      </c>
      <c r="J214" s="1">
        <v>-1.29</v>
      </c>
      <c r="K214" s="1">
        <v>-3.98</v>
      </c>
      <c r="L214" s="1">
        <f t="shared" si="1"/>
        <v>-7884.492854</v>
      </c>
      <c r="M214" s="1" t="str">
        <f t="shared" si="2"/>
        <v>ON SALE</v>
      </c>
      <c r="N214" s="1">
        <f t="shared" si="3"/>
        <v>32.45154574</v>
      </c>
      <c r="O214" s="1">
        <f t="shared" si="4"/>
        <v>37.7985766</v>
      </c>
      <c r="P214" s="4">
        <f t="shared" si="5"/>
        <v>-0.04354895163</v>
      </c>
    </row>
    <row r="215" ht="15.75" customHeight="1">
      <c r="A215" s="3">
        <v>41851.0</v>
      </c>
      <c r="B215" s="1">
        <v>2014.0</v>
      </c>
      <c r="C215" s="1">
        <v>7.0</v>
      </c>
      <c r="D215" s="1" t="s">
        <v>23</v>
      </c>
      <c r="E215" s="1">
        <v>295508.3272942658</v>
      </c>
      <c r="F215" s="1">
        <v>307222.3954216875</v>
      </c>
      <c r="G215" s="1">
        <v>9108.0</v>
      </c>
      <c r="H215" s="1">
        <v>32.44</v>
      </c>
      <c r="I215" s="1">
        <v>33.73</v>
      </c>
      <c r="J215" s="1">
        <v>-1.29</v>
      </c>
      <c r="K215" s="1">
        <v>-3.96</v>
      </c>
      <c r="L215" s="1">
        <f t="shared" si="1"/>
        <v>-11714.06813</v>
      </c>
      <c r="M215" s="1" t="str">
        <f t="shared" si="2"/>
        <v>ON SALE</v>
      </c>
      <c r="N215" s="1">
        <f t="shared" si="3"/>
        <v>32.44491955</v>
      </c>
      <c r="O215" s="1">
        <f t="shared" si="4"/>
        <v>37.8048409</v>
      </c>
      <c r="P215" s="4">
        <f t="shared" si="5"/>
        <v>-0.04355411645</v>
      </c>
    </row>
    <row r="216" ht="15.75" customHeight="1">
      <c r="A216" s="3">
        <v>41852.0</v>
      </c>
      <c r="B216" s="1">
        <v>2014.0</v>
      </c>
      <c r="C216" s="1">
        <v>8.0</v>
      </c>
      <c r="D216" s="1" t="s">
        <v>24</v>
      </c>
      <c r="E216" s="1">
        <v>611894.6731809496</v>
      </c>
      <c r="F216" s="1">
        <v>636341.3159261962</v>
      </c>
      <c r="G216" s="1">
        <v>18867.0</v>
      </c>
      <c r="H216" s="1">
        <v>32.43</v>
      </c>
      <c r="I216" s="1">
        <v>33.73</v>
      </c>
      <c r="J216" s="1">
        <v>-1.3</v>
      </c>
      <c r="K216" s="1">
        <v>-4.0</v>
      </c>
      <c r="L216" s="1">
        <f t="shared" si="1"/>
        <v>-24446.64275</v>
      </c>
      <c r="M216" s="1" t="str">
        <f t="shared" si="2"/>
        <v>ON SALE</v>
      </c>
      <c r="N216" s="1">
        <f t="shared" si="3"/>
        <v>32.43200685</v>
      </c>
      <c r="O216" s="1">
        <f t="shared" si="4"/>
        <v>37.81425639</v>
      </c>
      <c r="P216" s="4">
        <f t="shared" si="5"/>
        <v>-0.04356221566</v>
      </c>
    </row>
    <row r="217" ht="15.75" customHeight="1">
      <c r="A217" s="3">
        <v>41853.0</v>
      </c>
      <c r="B217" s="1">
        <v>2014.0</v>
      </c>
      <c r="C217" s="1">
        <v>8.0</v>
      </c>
      <c r="D217" s="1" t="s">
        <v>24</v>
      </c>
      <c r="E217" s="1">
        <v>628685.218828356</v>
      </c>
      <c r="F217" s="1">
        <v>653779.9634532441</v>
      </c>
      <c r="G217" s="1">
        <v>19384.0</v>
      </c>
      <c r="H217" s="1">
        <v>32.43</v>
      </c>
      <c r="I217" s="1">
        <v>33.73</v>
      </c>
      <c r="J217" s="1">
        <v>-1.29</v>
      </c>
      <c r="K217" s="1">
        <v>-3.99</v>
      </c>
      <c r="L217" s="1">
        <f t="shared" si="1"/>
        <v>-25094.74462</v>
      </c>
      <c r="M217" s="1" t="str">
        <f t="shared" si="2"/>
        <v>ON SALE</v>
      </c>
      <c r="N217" s="1">
        <f t="shared" si="3"/>
        <v>32.43320361</v>
      </c>
      <c r="O217" s="1">
        <f t="shared" si="4"/>
        <v>37.83391537</v>
      </c>
      <c r="P217" s="4">
        <f t="shared" si="5"/>
        <v>-0.04357775076</v>
      </c>
    </row>
    <row r="218" ht="15.75" customHeight="1">
      <c r="A218" s="3">
        <v>41854.0</v>
      </c>
      <c r="B218" s="1">
        <v>2014.0</v>
      </c>
      <c r="C218" s="1">
        <v>8.0</v>
      </c>
      <c r="D218" s="1" t="s">
        <v>24</v>
      </c>
      <c r="E218" s="1">
        <v>307272.68372995686</v>
      </c>
      <c r="F218" s="1">
        <v>319500.00945712806</v>
      </c>
      <c r="G218" s="1">
        <v>9473.0</v>
      </c>
      <c r="H218" s="1">
        <v>32.44</v>
      </c>
      <c r="I218" s="1">
        <v>33.73</v>
      </c>
      <c r="J218" s="1">
        <v>-1.29</v>
      </c>
      <c r="K218" s="1">
        <v>-3.98</v>
      </c>
      <c r="L218" s="1">
        <f t="shared" si="1"/>
        <v>-12227.32573</v>
      </c>
      <c r="M218" s="1" t="str">
        <f t="shared" si="2"/>
        <v>ON SALE</v>
      </c>
      <c r="N218" s="1">
        <f t="shared" si="3"/>
        <v>32.43668149</v>
      </c>
      <c r="O218" s="1">
        <f t="shared" si="4"/>
        <v>37.85431067</v>
      </c>
      <c r="P218" s="4">
        <f t="shared" si="5"/>
        <v>-0.04359401253</v>
      </c>
    </row>
    <row r="219" ht="15.75" customHeight="1">
      <c r="A219" s="3">
        <v>41855.0</v>
      </c>
      <c r="B219" s="1">
        <v>2014.0</v>
      </c>
      <c r="C219" s="1">
        <v>8.0</v>
      </c>
      <c r="D219" s="1" t="s">
        <v>24</v>
      </c>
      <c r="E219" s="1">
        <v>362106.5326359408</v>
      </c>
      <c r="F219" s="1">
        <v>376645.7509344858</v>
      </c>
      <c r="G219" s="1">
        <v>11170.0</v>
      </c>
      <c r="H219" s="1">
        <v>32.42</v>
      </c>
      <c r="I219" s="1">
        <v>33.72</v>
      </c>
      <c r="J219" s="1">
        <v>-1.3</v>
      </c>
      <c r="K219" s="1">
        <v>-4.02</v>
      </c>
      <c r="L219" s="1">
        <f t="shared" si="1"/>
        <v>-14539.2183</v>
      </c>
      <c r="M219" s="1" t="str">
        <f t="shared" si="2"/>
        <v>ON SALE</v>
      </c>
      <c r="N219" s="1">
        <f t="shared" si="3"/>
        <v>32.41777374</v>
      </c>
      <c r="O219" s="1">
        <f t="shared" si="4"/>
        <v>37.8643527</v>
      </c>
      <c r="P219" s="4">
        <f t="shared" si="5"/>
        <v>-0.04360228112</v>
      </c>
    </row>
    <row r="220" ht="15.75" customHeight="1">
      <c r="A220" s="3">
        <v>41856.0</v>
      </c>
      <c r="B220" s="1">
        <v>2014.0</v>
      </c>
      <c r="C220" s="1">
        <v>8.0</v>
      </c>
      <c r="D220" s="1" t="s">
        <v>24</v>
      </c>
      <c r="E220" s="1">
        <v>262349.59097271576</v>
      </c>
      <c r="F220" s="1">
        <v>272809.2904438099</v>
      </c>
      <c r="G220" s="1">
        <v>8091.0</v>
      </c>
      <c r="H220" s="1">
        <v>32.42</v>
      </c>
      <c r="I220" s="1">
        <v>33.72</v>
      </c>
      <c r="J220" s="1">
        <v>-1.29</v>
      </c>
      <c r="K220" s="1">
        <v>-3.99</v>
      </c>
      <c r="L220" s="1">
        <f t="shared" si="1"/>
        <v>-10459.69947</v>
      </c>
      <c r="M220" s="1" t="str">
        <f t="shared" si="2"/>
        <v>ON SALE</v>
      </c>
      <c r="N220" s="1">
        <f t="shared" si="3"/>
        <v>32.42486602</v>
      </c>
      <c r="O220" s="1">
        <f t="shared" si="4"/>
        <v>37.87627974</v>
      </c>
      <c r="P220" s="4">
        <f t="shared" si="5"/>
        <v>-0.04361114965</v>
      </c>
    </row>
    <row r="221" ht="15.75" customHeight="1">
      <c r="A221" s="3">
        <v>41857.0</v>
      </c>
      <c r="B221" s="1">
        <v>2014.0</v>
      </c>
      <c r="C221" s="1">
        <v>8.0</v>
      </c>
      <c r="D221" s="1" t="s">
        <v>24</v>
      </c>
      <c r="E221" s="1">
        <v>80697.90350079122</v>
      </c>
      <c r="F221" s="1">
        <v>77649.63653325358</v>
      </c>
      <c r="G221" s="1">
        <v>2303.0</v>
      </c>
      <c r="H221" s="1">
        <v>35.04</v>
      </c>
      <c r="I221" s="1">
        <v>33.72</v>
      </c>
      <c r="J221" s="1">
        <v>1.32</v>
      </c>
      <c r="K221" s="1">
        <v>3.78</v>
      </c>
      <c r="L221" s="1">
        <f t="shared" si="1"/>
        <v>3048.266968</v>
      </c>
      <c r="M221" s="1" t="str">
        <f t="shared" si="2"/>
        <v>Regular</v>
      </c>
      <c r="N221" s="1">
        <f t="shared" si="3"/>
        <v>35.04034021</v>
      </c>
      <c r="O221" s="1">
        <f t="shared" si="4"/>
        <v>37.88496578</v>
      </c>
      <c r="P221" s="4">
        <f t="shared" si="5"/>
        <v>-0.04361813047</v>
      </c>
    </row>
    <row r="222" ht="15.75" customHeight="1">
      <c r="A222" s="3">
        <v>41858.0</v>
      </c>
      <c r="B222" s="1">
        <v>2014.0</v>
      </c>
      <c r="C222" s="1">
        <v>8.0</v>
      </c>
      <c r="D222" s="1" t="s">
        <v>24</v>
      </c>
      <c r="E222" s="1">
        <v>103272.62271335037</v>
      </c>
      <c r="F222" s="1">
        <v>99367.23322268797</v>
      </c>
      <c r="G222" s="1">
        <v>2947.0</v>
      </c>
      <c r="H222" s="1">
        <v>35.04</v>
      </c>
      <c r="I222" s="1">
        <v>33.72</v>
      </c>
      <c r="J222" s="1">
        <v>1.33</v>
      </c>
      <c r="K222" s="1">
        <v>3.78</v>
      </c>
      <c r="L222" s="1">
        <f t="shared" si="1"/>
        <v>3905.389491</v>
      </c>
      <c r="M222" s="1" t="str">
        <f t="shared" si="2"/>
        <v>Regular</v>
      </c>
      <c r="N222" s="1">
        <f t="shared" si="3"/>
        <v>35.04330598</v>
      </c>
      <c r="O222" s="1">
        <f t="shared" si="4"/>
        <v>37.88744532</v>
      </c>
      <c r="P222" s="4">
        <f t="shared" si="5"/>
        <v>-0.04366486461</v>
      </c>
    </row>
    <row r="223" ht="15.75" customHeight="1">
      <c r="A223" s="3">
        <v>41859.0</v>
      </c>
      <c r="B223" s="1">
        <v>2014.0</v>
      </c>
      <c r="C223" s="1">
        <v>8.0</v>
      </c>
      <c r="D223" s="1" t="s">
        <v>24</v>
      </c>
      <c r="E223" s="1">
        <v>439421.4220670738</v>
      </c>
      <c r="F223" s="1">
        <v>456509.62185022025</v>
      </c>
      <c r="G223" s="1">
        <v>13542.0</v>
      </c>
      <c r="H223" s="1">
        <v>32.45</v>
      </c>
      <c r="I223" s="1">
        <v>33.71</v>
      </c>
      <c r="J223" s="1">
        <v>-1.26</v>
      </c>
      <c r="K223" s="1">
        <v>-3.89</v>
      </c>
      <c r="L223" s="1">
        <f t="shared" si="1"/>
        <v>-17088.19978</v>
      </c>
      <c r="M223" s="1" t="str">
        <f t="shared" si="2"/>
        <v>ON SALE</v>
      </c>
      <c r="N223" s="1">
        <f t="shared" si="3"/>
        <v>32.4487832</v>
      </c>
      <c r="O223" s="1">
        <f t="shared" si="4"/>
        <v>37.89062149</v>
      </c>
      <c r="P223" s="4">
        <f t="shared" si="5"/>
        <v>-0.04372478192</v>
      </c>
    </row>
    <row r="224" ht="15.75" customHeight="1">
      <c r="A224" s="3">
        <v>41860.0</v>
      </c>
      <c r="B224" s="1">
        <v>2014.0</v>
      </c>
      <c r="C224" s="1">
        <v>8.0</v>
      </c>
      <c r="D224" s="1" t="s">
        <v>24</v>
      </c>
      <c r="E224" s="1">
        <v>408616.3506319135</v>
      </c>
      <c r="F224" s="1">
        <v>424340.94938278507</v>
      </c>
      <c r="G224" s="1">
        <v>12588.0</v>
      </c>
      <c r="H224" s="1">
        <v>32.46</v>
      </c>
      <c r="I224" s="1">
        <v>33.71</v>
      </c>
      <c r="J224" s="1">
        <v>-1.25</v>
      </c>
      <c r="K224" s="1">
        <v>-3.85</v>
      </c>
      <c r="L224" s="1">
        <f t="shared" si="1"/>
        <v>-15724.59875</v>
      </c>
      <c r="M224" s="1" t="str">
        <f t="shared" si="2"/>
        <v>ON SALE</v>
      </c>
      <c r="N224" s="1">
        <f t="shared" si="3"/>
        <v>32.46078413</v>
      </c>
      <c r="O224" s="1">
        <f t="shared" si="4"/>
        <v>37.90530516</v>
      </c>
      <c r="P224" s="4">
        <f t="shared" si="5"/>
        <v>-0.04373996336</v>
      </c>
    </row>
    <row r="225" ht="15.75" customHeight="1">
      <c r="A225" s="3">
        <v>41861.0</v>
      </c>
      <c r="B225" s="1">
        <v>2014.0</v>
      </c>
      <c r="C225" s="1">
        <v>8.0</v>
      </c>
      <c r="D225" s="1" t="s">
        <v>24</v>
      </c>
      <c r="E225" s="1">
        <v>195866.77301944338</v>
      </c>
      <c r="F225" s="1">
        <v>203331.43478475648</v>
      </c>
      <c r="G225" s="1">
        <v>6032.0</v>
      </c>
      <c r="H225" s="1">
        <v>32.47</v>
      </c>
      <c r="I225" s="1">
        <v>33.71</v>
      </c>
      <c r="J225" s="1">
        <v>-1.24</v>
      </c>
      <c r="K225" s="1">
        <v>-3.81</v>
      </c>
      <c r="L225" s="1">
        <f t="shared" si="1"/>
        <v>-7464.661765</v>
      </c>
      <c r="M225" s="1" t="str">
        <f t="shared" si="2"/>
        <v>ON SALE</v>
      </c>
      <c r="N225" s="1">
        <f t="shared" si="3"/>
        <v>32.471282</v>
      </c>
      <c r="O225" s="1">
        <f t="shared" si="4"/>
        <v>37.91904949</v>
      </c>
      <c r="P225" s="4">
        <f t="shared" si="5"/>
        <v>-0.04375535299</v>
      </c>
    </row>
    <row r="226" ht="15.75" customHeight="1">
      <c r="A226" s="3">
        <v>41862.0</v>
      </c>
      <c r="B226" s="1">
        <v>2014.0</v>
      </c>
      <c r="C226" s="1">
        <v>8.0</v>
      </c>
      <c r="D226" s="1" t="s">
        <v>24</v>
      </c>
      <c r="E226" s="1">
        <v>232347.3531692896</v>
      </c>
      <c r="F226" s="1">
        <v>241134.5277944064</v>
      </c>
      <c r="G226" s="1">
        <v>7158.0</v>
      </c>
      <c r="H226" s="1">
        <v>32.46</v>
      </c>
      <c r="I226" s="1">
        <v>33.69</v>
      </c>
      <c r="J226" s="1">
        <v>-1.23</v>
      </c>
      <c r="K226" s="1">
        <v>-3.78</v>
      </c>
      <c r="L226" s="1">
        <f t="shared" si="1"/>
        <v>-8787.174625</v>
      </c>
      <c r="M226" s="1" t="str">
        <f t="shared" si="2"/>
        <v>ON SALE</v>
      </c>
      <c r="N226" s="1">
        <f t="shared" si="3"/>
        <v>32.45981464</v>
      </c>
      <c r="O226" s="1">
        <f t="shared" si="4"/>
        <v>37.92566939</v>
      </c>
      <c r="P226" s="4">
        <f t="shared" si="5"/>
        <v>-0.04376328406</v>
      </c>
    </row>
    <row r="227" ht="15.75" customHeight="1">
      <c r="A227" s="3">
        <v>41863.0</v>
      </c>
      <c r="B227" s="1">
        <v>2014.0</v>
      </c>
      <c r="C227" s="1">
        <v>8.0</v>
      </c>
      <c r="D227" s="1" t="s">
        <v>24</v>
      </c>
      <c r="E227" s="1">
        <v>190325.18114338472</v>
      </c>
      <c r="F227" s="1">
        <v>197438.11163851494</v>
      </c>
      <c r="G227" s="1">
        <v>5863.0</v>
      </c>
      <c r="H227" s="1">
        <v>32.46</v>
      </c>
      <c r="I227" s="1">
        <v>33.68</v>
      </c>
      <c r="J227" s="1">
        <v>-1.21</v>
      </c>
      <c r="K227" s="1">
        <v>-3.74</v>
      </c>
      <c r="L227" s="1">
        <f t="shared" si="1"/>
        <v>-7112.930495</v>
      </c>
      <c r="M227" s="1" t="str">
        <f t="shared" si="2"/>
        <v>ON SALE</v>
      </c>
      <c r="N227" s="1">
        <f t="shared" si="3"/>
        <v>32.46208104</v>
      </c>
      <c r="O227" s="1">
        <f t="shared" si="4"/>
        <v>37.93359205</v>
      </c>
      <c r="P227" s="4">
        <f t="shared" si="5"/>
        <v>-0.04377320841</v>
      </c>
    </row>
    <row r="228" ht="15.75" customHeight="1">
      <c r="A228" s="3">
        <v>41864.0</v>
      </c>
      <c r="B228" s="1">
        <v>2014.0</v>
      </c>
      <c r="C228" s="1">
        <v>8.0</v>
      </c>
      <c r="D228" s="1" t="s">
        <v>24</v>
      </c>
      <c r="E228" s="1">
        <v>197698.11855084094</v>
      </c>
      <c r="F228" s="1">
        <v>205114.12894822727</v>
      </c>
      <c r="G228" s="1">
        <v>6092.0</v>
      </c>
      <c r="H228" s="1">
        <v>32.45</v>
      </c>
      <c r="I228" s="1">
        <v>33.67</v>
      </c>
      <c r="J228" s="1">
        <v>-1.22</v>
      </c>
      <c r="K228" s="1">
        <v>-3.75</v>
      </c>
      <c r="L228" s="1">
        <f t="shared" si="1"/>
        <v>-7416.010397</v>
      </c>
      <c r="M228" s="1" t="str">
        <f t="shared" si="2"/>
        <v>ON SALE</v>
      </c>
      <c r="N228" s="1">
        <f t="shared" si="3"/>
        <v>32.45208775</v>
      </c>
      <c r="O228" s="1">
        <f t="shared" si="4"/>
        <v>37.9401221</v>
      </c>
      <c r="P228" s="4">
        <f t="shared" si="5"/>
        <v>-0.04378197423</v>
      </c>
    </row>
    <row r="229" ht="15.75" customHeight="1">
      <c r="A229" s="3">
        <v>41865.0</v>
      </c>
      <c r="B229" s="1">
        <v>2014.0</v>
      </c>
      <c r="C229" s="1">
        <v>8.0</v>
      </c>
      <c r="D229" s="1" t="s">
        <v>24</v>
      </c>
      <c r="E229" s="1">
        <v>177908.83560484851</v>
      </c>
      <c r="F229" s="1">
        <v>184687.52914036706</v>
      </c>
      <c r="G229" s="1">
        <v>5485.0</v>
      </c>
      <c r="H229" s="1">
        <v>32.44</v>
      </c>
      <c r="I229" s="1">
        <v>33.67</v>
      </c>
      <c r="J229" s="1">
        <v>-1.24</v>
      </c>
      <c r="K229" s="1">
        <v>-3.81</v>
      </c>
      <c r="L229" s="1">
        <f t="shared" si="1"/>
        <v>-6778.693536</v>
      </c>
      <c r="M229" s="1" t="str">
        <f t="shared" si="2"/>
        <v>ON SALE</v>
      </c>
      <c r="N229" s="1">
        <f t="shared" si="3"/>
        <v>32.43552153</v>
      </c>
      <c r="O229" s="1">
        <f t="shared" si="4"/>
        <v>37.94693778</v>
      </c>
      <c r="P229" s="4">
        <f t="shared" si="5"/>
        <v>-0.04379090667</v>
      </c>
    </row>
    <row r="230" ht="15.75" customHeight="1">
      <c r="A230" s="3">
        <v>41866.0</v>
      </c>
      <c r="B230" s="1">
        <v>2014.0</v>
      </c>
      <c r="C230" s="1">
        <v>8.0</v>
      </c>
      <c r="D230" s="1" t="s">
        <v>24</v>
      </c>
      <c r="E230" s="1">
        <v>473321.8824517537</v>
      </c>
      <c r="F230" s="1">
        <v>491559.42296304414</v>
      </c>
      <c r="G230" s="1">
        <v>14587.0</v>
      </c>
      <c r="H230" s="1">
        <v>32.45</v>
      </c>
      <c r="I230" s="1">
        <v>33.7</v>
      </c>
      <c r="J230" s="1">
        <v>-1.25</v>
      </c>
      <c r="K230" s="1">
        <v>-3.85</v>
      </c>
      <c r="L230" s="1">
        <f t="shared" si="1"/>
        <v>-18237.54051</v>
      </c>
      <c r="M230" s="1" t="str">
        <f t="shared" si="2"/>
        <v>ON SALE</v>
      </c>
      <c r="N230" s="1">
        <f t="shared" si="3"/>
        <v>32.44819925</v>
      </c>
      <c r="O230" s="1">
        <f t="shared" si="4"/>
        <v>37.95309017</v>
      </c>
      <c r="P230" s="4">
        <f t="shared" si="5"/>
        <v>-0.04379820907</v>
      </c>
    </row>
    <row r="231" ht="15.75" customHeight="1">
      <c r="A231" s="3">
        <v>41867.0</v>
      </c>
      <c r="B231" s="1">
        <v>2014.0</v>
      </c>
      <c r="C231" s="1">
        <v>8.0</v>
      </c>
      <c r="D231" s="1" t="s">
        <v>24</v>
      </c>
      <c r="E231" s="1">
        <v>541600.8921595308</v>
      </c>
      <c r="F231" s="1">
        <v>562953.3707736537</v>
      </c>
      <c r="G231" s="1">
        <v>16686.0</v>
      </c>
      <c r="H231" s="1">
        <v>32.46</v>
      </c>
      <c r="I231" s="1">
        <v>33.74</v>
      </c>
      <c r="J231" s="1">
        <v>-1.28</v>
      </c>
      <c r="K231" s="1">
        <v>-3.94</v>
      </c>
      <c r="L231" s="1">
        <f t="shared" si="1"/>
        <v>-21352.47861</v>
      </c>
      <c r="M231" s="1" t="str">
        <f t="shared" si="2"/>
        <v>ON SALE</v>
      </c>
      <c r="N231" s="1">
        <f t="shared" si="3"/>
        <v>32.45840178</v>
      </c>
      <c r="O231" s="1">
        <f t="shared" si="4"/>
        <v>37.96943453</v>
      </c>
      <c r="P231" s="4">
        <f t="shared" si="5"/>
        <v>-0.04381625883</v>
      </c>
    </row>
    <row r="232" ht="15.75" customHeight="1">
      <c r="A232" s="3">
        <v>41868.0</v>
      </c>
      <c r="B232" s="1">
        <v>2014.0</v>
      </c>
      <c r="C232" s="1">
        <v>8.0</v>
      </c>
      <c r="D232" s="1" t="s">
        <v>24</v>
      </c>
      <c r="E232" s="1">
        <v>239513.979042657</v>
      </c>
      <c r="F232" s="1">
        <v>249203.12076822476</v>
      </c>
      <c r="G232" s="1">
        <v>7380.0</v>
      </c>
      <c r="H232" s="1">
        <v>32.45</v>
      </c>
      <c r="I232" s="1">
        <v>33.77</v>
      </c>
      <c r="J232" s="1">
        <v>-1.31</v>
      </c>
      <c r="K232" s="1">
        <v>-4.05</v>
      </c>
      <c r="L232" s="1">
        <f t="shared" si="1"/>
        <v>-9689.141726</v>
      </c>
      <c r="M232" s="1" t="str">
        <f t="shared" si="2"/>
        <v>ON SALE</v>
      </c>
      <c r="N232" s="1">
        <f t="shared" si="3"/>
        <v>32.4544687</v>
      </c>
      <c r="O232" s="1">
        <f t="shared" si="4"/>
        <v>37.98811062</v>
      </c>
      <c r="P232" s="4">
        <f t="shared" si="5"/>
        <v>-0.04383354623</v>
      </c>
    </row>
    <row r="233" ht="15.75" customHeight="1">
      <c r="A233" s="3">
        <v>41869.0</v>
      </c>
      <c r="B233" s="1">
        <v>2014.0</v>
      </c>
      <c r="C233" s="1">
        <v>8.0</v>
      </c>
      <c r="D233" s="1" t="s">
        <v>24</v>
      </c>
      <c r="E233" s="1">
        <v>255224.22255235323</v>
      </c>
      <c r="F233" s="1">
        <v>265532.5462048222</v>
      </c>
      <c r="G233" s="1">
        <v>7864.0</v>
      </c>
      <c r="H233" s="1">
        <v>32.45</v>
      </c>
      <c r="I233" s="1">
        <v>33.77</v>
      </c>
      <c r="J233" s="1">
        <v>-1.31</v>
      </c>
      <c r="K233" s="1">
        <v>-4.04</v>
      </c>
      <c r="L233" s="1">
        <f t="shared" si="1"/>
        <v>-10308.32365</v>
      </c>
      <c r="M233" s="1" t="str">
        <f t="shared" si="2"/>
        <v>ON SALE</v>
      </c>
      <c r="N233" s="1">
        <f t="shared" si="3"/>
        <v>32.45475872</v>
      </c>
      <c r="O233" s="1">
        <f t="shared" si="4"/>
        <v>37.99636619</v>
      </c>
      <c r="P233" s="4">
        <f t="shared" si="5"/>
        <v>-0.04383944099</v>
      </c>
    </row>
    <row r="234" ht="15.75" customHeight="1">
      <c r="A234" s="3">
        <v>41870.0</v>
      </c>
      <c r="B234" s="1">
        <v>2014.0</v>
      </c>
      <c r="C234" s="1">
        <v>8.0</v>
      </c>
      <c r="D234" s="1" t="s">
        <v>24</v>
      </c>
      <c r="E234" s="1">
        <v>160372.03970902972</v>
      </c>
      <c r="F234" s="1">
        <v>167021.15782900868</v>
      </c>
      <c r="G234" s="1">
        <v>4941.0</v>
      </c>
      <c r="H234" s="1">
        <v>32.46</v>
      </c>
      <c r="I234" s="1">
        <v>33.8</v>
      </c>
      <c r="J234" s="1">
        <v>-1.35</v>
      </c>
      <c r="K234" s="1">
        <v>-4.15</v>
      </c>
      <c r="L234" s="1">
        <f t="shared" si="1"/>
        <v>-6649.11812</v>
      </c>
      <c r="M234" s="1" t="str">
        <f t="shared" si="2"/>
        <v>ON SALE</v>
      </c>
      <c r="N234" s="1">
        <f t="shared" si="3"/>
        <v>32.45740532</v>
      </c>
      <c r="O234" s="1">
        <f t="shared" si="4"/>
        <v>38.00520252</v>
      </c>
      <c r="P234" s="4">
        <f t="shared" si="5"/>
        <v>-0.04384586434</v>
      </c>
    </row>
    <row r="235" ht="15.75" customHeight="1">
      <c r="A235" s="3">
        <v>41871.0</v>
      </c>
      <c r="B235" s="1">
        <v>2014.0</v>
      </c>
      <c r="C235" s="1">
        <v>8.0</v>
      </c>
      <c r="D235" s="1" t="s">
        <v>24</v>
      </c>
      <c r="E235" s="1">
        <v>171587.33225254016</v>
      </c>
      <c r="F235" s="1">
        <v>174723.17542794356</v>
      </c>
      <c r="G235" s="1">
        <v>5151.0</v>
      </c>
      <c r="H235" s="1">
        <v>33.31</v>
      </c>
      <c r="I235" s="1">
        <v>33.92</v>
      </c>
      <c r="J235" s="1">
        <v>-0.61</v>
      </c>
      <c r="K235" s="1">
        <v>-1.83</v>
      </c>
      <c r="L235" s="1">
        <f t="shared" si="1"/>
        <v>-3135.843175</v>
      </c>
      <c r="M235" s="1" t="str">
        <f t="shared" si="2"/>
        <v>ON SALE</v>
      </c>
      <c r="N235" s="1">
        <f t="shared" si="3"/>
        <v>33.31146035</v>
      </c>
      <c r="O235" s="1">
        <f t="shared" si="4"/>
        <v>38.01072403</v>
      </c>
      <c r="P235" s="4">
        <f t="shared" si="5"/>
        <v>-0.04384865803</v>
      </c>
    </row>
    <row r="236" ht="15.75" customHeight="1">
      <c r="A236" s="3">
        <v>41872.0</v>
      </c>
      <c r="B236" s="1">
        <v>2014.0</v>
      </c>
      <c r="C236" s="1">
        <v>8.0</v>
      </c>
      <c r="D236" s="1" t="s">
        <v>24</v>
      </c>
      <c r="E236" s="1">
        <v>164208.06061259517</v>
      </c>
      <c r="F236" s="1">
        <v>167239.64875993136</v>
      </c>
      <c r="G236" s="1">
        <v>4928.0</v>
      </c>
      <c r="H236" s="1">
        <v>33.32</v>
      </c>
      <c r="I236" s="1">
        <v>33.94</v>
      </c>
      <c r="J236" s="1">
        <v>-0.62</v>
      </c>
      <c r="K236" s="1">
        <v>-1.85</v>
      </c>
      <c r="L236" s="1">
        <f t="shared" si="1"/>
        <v>-3031.588147</v>
      </c>
      <c r="M236" s="1" t="str">
        <f t="shared" si="2"/>
        <v>ON SALE</v>
      </c>
      <c r="N236" s="1">
        <f t="shared" si="3"/>
        <v>33.32144087</v>
      </c>
      <c r="O236" s="1">
        <f t="shared" si="4"/>
        <v>38.01633501</v>
      </c>
      <c r="P236" s="4">
        <f t="shared" si="5"/>
        <v>-0.0438807446</v>
      </c>
    </row>
    <row r="237" ht="15.75" customHeight="1">
      <c r="A237" s="3">
        <v>41873.0</v>
      </c>
      <c r="B237" s="1">
        <v>2014.0</v>
      </c>
      <c r="C237" s="1">
        <v>8.0</v>
      </c>
      <c r="D237" s="1" t="s">
        <v>24</v>
      </c>
      <c r="E237" s="1">
        <v>376778.83570449764</v>
      </c>
      <c r="F237" s="1">
        <v>384006.045320909</v>
      </c>
      <c r="G237" s="1">
        <v>11309.0</v>
      </c>
      <c r="H237" s="1">
        <v>33.32</v>
      </c>
      <c r="I237" s="1">
        <v>33.96</v>
      </c>
      <c r="J237" s="1">
        <v>-0.64</v>
      </c>
      <c r="K237" s="1">
        <v>-1.92</v>
      </c>
      <c r="L237" s="1">
        <f t="shared" si="1"/>
        <v>-7227.209616</v>
      </c>
      <c r="M237" s="1" t="str">
        <f t="shared" si="2"/>
        <v>ON SALE</v>
      </c>
      <c r="N237" s="1">
        <f t="shared" si="3"/>
        <v>33.31672435</v>
      </c>
      <c r="O237" s="1">
        <f t="shared" si="4"/>
        <v>38.021696</v>
      </c>
      <c r="P237" s="4">
        <f t="shared" si="5"/>
        <v>-0.0439113027</v>
      </c>
    </row>
    <row r="238" ht="15.75" customHeight="1">
      <c r="A238" s="3">
        <v>41874.0</v>
      </c>
      <c r="B238" s="1">
        <v>2014.0</v>
      </c>
      <c r="C238" s="1">
        <v>8.0</v>
      </c>
      <c r="D238" s="1" t="s">
        <v>24</v>
      </c>
      <c r="E238" s="1">
        <v>453633.473978322</v>
      </c>
      <c r="F238" s="1">
        <v>463250.071255098</v>
      </c>
      <c r="G238" s="1">
        <v>13613.0</v>
      </c>
      <c r="H238" s="1">
        <v>33.32</v>
      </c>
      <c r="I238" s="1">
        <v>34.03</v>
      </c>
      <c r="J238" s="1">
        <v>-0.71</v>
      </c>
      <c r="K238" s="1">
        <v>-2.12</v>
      </c>
      <c r="L238" s="1">
        <f t="shared" si="1"/>
        <v>-9616.597277</v>
      </c>
      <c r="M238" s="1" t="str">
        <f t="shared" si="2"/>
        <v>ON SALE</v>
      </c>
      <c r="N238" s="1">
        <f t="shared" si="3"/>
        <v>33.32354911</v>
      </c>
      <c r="O238" s="1">
        <f t="shared" si="4"/>
        <v>38.03399405</v>
      </c>
      <c r="P238" s="4">
        <f t="shared" si="5"/>
        <v>-0.04397970662</v>
      </c>
    </row>
    <row r="239" ht="15.75" customHeight="1">
      <c r="A239" s="3">
        <v>41875.0</v>
      </c>
      <c r="B239" s="1">
        <v>2014.0</v>
      </c>
      <c r="C239" s="1">
        <v>8.0</v>
      </c>
      <c r="D239" s="1" t="s">
        <v>24</v>
      </c>
      <c r="E239" s="1">
        <v>214392.4008527526</v>
      </c>
      <c r="F239" s="1">
        <v>218347.79777692942</v>
      </c>
      <c r="G239" s="1">
        <v>6424.0</v>
      </c>
      <c r="H239" s="1">
        <v>33.37</v>
      </c>
      <c r="I239" s="1">
        <v>33.99</v>
      </c>
      <c r="J239" s="1">
        <v>-0.62</v>
      </c>
      <c r="K239" s="1">
        <v>-1.84</v>
      </c>
      <c r="L239" s="1">
        <f t="shared" si="1"/>
        <v>-3955.396924</v>
      </c>
      <c r="M239" s="1" t="str">
        <f t="shared" si="2"/>
        <v>ON SALE</v>
      </c>
      <c r="N239" s="1">
        <f t="shared" si="3"/>
        <v>33.3736614</v>
      </c>
      <c r="O239" s="1">
        <f t="shared" si="4"/>
        <v>38.04862555</v>
      </c>
      <c r="P239" s="4">
        <f t="shared" si="5"/>
        <v>-0.044055826</v>
      </c>
    </row>
    <row r="240" ht="15.75" customHeight="1">
      <c r="A240" s="3">
        <v>41876.0</v>
      </c>
      <c r="B240" s="1">
        <v>2014.0</v>
      </c>
      <c r="C240" s="1">
        <v>8.0</v>
      </c>
      <c r="D240" s="1" t="s">
        <v>24</v>
      </c>
      <c r="E240" s="1">
        <v>316404.06232243</v>
      </c>
      <c r="F240" s="1">
        <v>323293.3966404731</v>
      </c>
      <c r="G240" s="1">
        <v>9493.0</v>
      </c>
      <c r="H240" s="1">
        <v>33.33</v>
      </c>
      <c r="I240" s="1">
        <v>34.06</v>
      </c>
      <c r="J240" s="1">
        <v>-0.73</v>
      </c>
      <c r="K240" s="1">
        <v>-2.18</v>
      </c>
      <c r="L240" s="1">
        <f t="shared" si="1"/>
        <v>-6889.334318</v>
      </c>
      <c r="M240" s="1" t="str">
        <f t="shared" si="2"/>
        <v>ON SALE</v>
      </c>
      <c r="N240" s="1">
        <f t="shared" si="3"/>
        <v>33.3302499</v>
      </c>
      <c r="O240" s="1">
        <f t="shared" si="4"/>
        <v>38.05563751</v>
      </c>
      <c r="P240" s="4">
        <f t="shared" si="5"/>
        <v>-0.04409632737</v>
      </c>
    </row>
    <row r="241" ht="15.75" customHeight="1">
      <c r="A241" s="3">
        <v>41877.0</v>
      </c>
      <c r="B241" s="1">
        <v>2014.0</v>
      </c>
      <c r="C241" s="1">
        <v>8.0</v>
      </c>
      <c r="D241" s="1" t="s">
        <v>24</v>
      </c>
      <c r="E241" s="1">
        <v>242824.50134045485</v>
      </c>
      <c r="F241" s="1">
        <v>259860.5125486858</v>
      </c>
      <c r="G241" s="1">
        <v>7619.0</v>
      </c>
      <c r="H241" s="1">
        <v>31.87</v>
      </c>
      <c r="I241" s="1">
        <v>34.11</v>
      </c>
      <c r="J241" s="1">
        <v>-2.24</v>
      </c>
      <c r="K241" s="1">
        <v>-7.02</v>
      </c>
      <c r="L241" s="1">
        <f t="shared" si="1"/>
        <v>-17036.01121</v>
      </c>
      <c r="M241" s="1" t="str">
        <f t="shared" si="2"/>
        <v>ON SALE</v>
      </c>
      <c r="N241" s="1">
        <f t="shared" si="3"/>
        <v>31.87091499</v>
      </c>
      <c r="O241" s="1">
        <f t="shared" si="4"/>
        <v>38.06587339</v>
      </c>
      <c r="P241" s="4">
        <f t="shared" si="5"/>
        <v>-0.04414855612</v>
      </c>
    </row>
    <row r="242" ht="15.75" customHeight="1">
      <c r="A242" s="3">
        <v>41878.0</v>
      </c>
      <c r="B242" s="1">
        <v>2014.0</v>
      </c>
      <c r="C242" s="1">
        <v>8.0</v>
      </c>
      <c r="D242" s="1" t="s">
        <v>24</v>
      </c>
      <c r="E242" s="1">
        <v>274712.2532841696</v>
      </c>
      <c r="F242" s="1">
        <v>304334.78464343684</v>
      </c>
      <c r="G242" s="1">
        <v>8909.0</v>
      </c>
      <c r="H242" s="1">
        <v>30.84</v>
      </c>
      <c r="I242" s="1">
        <v>34.16</v>
      </c>
      <c r="J242" s="1">
        <v>-3.33</v>
      </c>
      <c r="K242" s="1">
        <v>-10.78</v>
      </c>
      <c r="L242" s="1">
        <f t="shared" si="1"/>
        <v>-29622.53136</v>
      </c>
      <c r="M242" s="1" t="str">
        <f t="shared" si="2"/>
        <v>ON SALE</v>
      </c>
      <c r="N242" s="1">
        <f t="shared" si="3"/>
        <v>30.83536348</v>
      </c>
      <c r="O242" s="1">
        <f t="shared" si="4"/>
        <v>38.07402177</v>
      </c>
      <c r="P242" s="4">
        <f t="shared" si="5"/>
        <v>-0.0441017692</v>
      </c>
    </row>
    <row r="243" ht="15.75" customHeight="1">
      <c r="A243" s="3">
        <v>41879.0</v>
      </c>
      <c r="B243" s="1">
        <v>2014.0</v>
      </c>
      <c r="C243" s="1">
        <v>8.0</v>
      </c>
      <c r="D243" s="1" t="s">
        <v>24</v>
      </c>
      <c r="E243" s="1">
        <v>258066.16939498458</v>
      </c>
      <c r="F243" s="1">
        <v>287168.5660898254</v>
      </c>
      <c r="G243" s="1">
        <v>8400.0</v>
      </c>
      <c r="H243" s="1">
        <v>30.72</v>
      </c>
      <c r="I243" s="1">
        <v>34.19</v>
      </c>
      <c r="J243" s="1">
        <v>-3.46</v>
      </c>
      <c r="K243" s="1">
        <v>-11.28</v>
      </c>
      <c r="L243" s="1">
        <f t="shared" si="1"/>
        <v>-29102.39669</v>
      </c>
      <c r="M243" s="1" t="str">
        <f t="shared" si="2"/>
        <v>ON SALE</v>
      </c>
      <c r="N243" s="1">
        <f t="shared" si="3"/>
        <v>30.72216302</v>
      </c>
      <c r="O243" s="1">
        <f t="shared" si="4"/>
        <v>38.08346344</v>
      </c>
      <c r="P243" s="4">
        <f t="shared" si="5"/>
        <v>-0.04397180971</v>
      </c>
    </row>
    <row r="244" ht="15.75" customHeight="1">
      <c r="A244" s="3">
        <v>41880.0</v>
      </c>
      <c r="B244" s="1">
        <v>2014.0</v>
      </c>
      <c r="C244" s="1">
        <v>8.0</v>
      </c>
      <c r="D244" s="1" t="s">
        <v>24</v>
      </c>
      <c r="E244" s="1">
        <v>594007.2132037124</v>
      </c>
      <c r="F244" s="1">
        <v>660937.8048056035</v>
      </c>
      <c r="G244" s="1">
        <v>19317.0</v>
      </c>
      <c r="H244" s="1">
        <v>30.75</v>
      </c>
      <c r="I244" s="1">
        <v>34.22</v>
      </c>
      <c r="J244" s="1">
        <v>-3.46</v>
      </c>
      <c r="K244" s="1">
        <v>-11.27</v>
      </c>
      <c r="L244" s="1">
        <f t="shared" si="1"/>
        <v>-66930.5916</v>
      </c>
      <c r="M244" s="1" t="str">
        <f t="shared" si="2"/>
        <v>ON SALE</v>
      </c>
      <c r="N244" s="1">
        <f t="shared" si="3"/>
        <v>30.75048989</v>
      </c>
      <c r="O244" s="1">
        <f t="shared" si="4"/>
        <v>38.0923474</v>
      </c>
      <c r="P244" s="4">
        <f t="shared" si="5"/>
        <v>-0.04383975983</v>
      </c>
    </row>
    <row r="245" ht="15.75" customHeight="1">
      <c r="A245" s="3">
        <v>41881.0</v>
      </c>
      <c r="B245" s="1">
        <v>2014.0</v>
      </c>
      <c r="C245" s="1">
        <v>8.0</v>
      </c>
      <c r="D245" s="1" t="s">
        <v>24</v>
      </c>
      <c r="E245" s="1">
        <v>717096.7128183594</v>
      </c>
      <c r="F245" s="1">
        <v>797788.8919762375</v>
      </c>
      <c r="G245" s="1">
        <v>23310.0</v>
      </c>
      <c r="H245" s="1">
        <v>30.76</v>
      </c>
      <c r="I245" s="1">
        <v>34.23</v>
      </c>
      <c r="J245" s="1">
        <v>-3.46</v>
      </c>
      <c r="K245" s="1">
        <v>-11.25</v>
      </c>
      <c r="L245" s="1">
        <f t="shared" si="1"/>
        <v>-80692.17916</v>
      </c>
      <c r="M245" s="1" t="str">
        <f t="shared" si="2"/>
        <v>ON SALE</v>
      </c>
      <c r="N245" s="1">
        <f t="shared" si="3"/>
        <v>30.76347974</v>
      </c>
      <c r="O245" s="1">
        <f t="shared" si="4"/>
        <v>38.11278104</v>
      </c>
      <c r="P245" s="4">
        <f t="shared" si="5"/>
        <v>-0.04353429764</v>
      </c>
    </row>
    <row r="246" ht="15.75" customHeight="1">
      <c r="A246" s="3">
        <v>41882.0</v>
      </c>
      <c r="B246" s="1">
        <v>2014.0</v>
      </c>
      <c r="C246" s="1">
        <v>8.0</v>
      </c>
      <c r="D246" s="1" t="s">
        <v>24</v>
      </c>
      <c r="E246" s="1">
        <v>358170.996328817</v>
      </c>
      <c r="F246" s="1">
        <v>398562.60743015877</v>
      </c>
      <c r="G246" s="1">
        <v>11646.0</v>
      </c>
      <c r="H246" s="1">
        <v>30.75</v>
      </c>
      <c r="I246" s="1">
        <v>34.22</v>
      </c>
      <c r="J246" s="1">
        <v>-3.47</v>
      </c>
      <c r="K246" s="1">
        <v>-11.28</v>
      </c>
      <c r="L246" s="1">
        <f t="shared" si="1"/>
        <v>-40391.6111</v>
      </c>
      <c r="M246" s="1" t="str">
        <f t="shared" si="2"/>
        <v>ON SALE</v>
      </c>
      <c r="N246" s="1">
        <f t="shared" si="3"/>
        <v>30.75485114</v>
      </c>
      <c r="O246" s="1">
        <f t="shared" si="4"/>
        <v>38.13766418</v>
      </c>
      <c r="P246" s="4">
        <f t="shared" si="5"/>
        <v>-0.04316271549</v>
      </c>
    </row>
    <row r="247" ht="15.75" customHeight="1">
      <c r="A247" s="3">
        <v>41883.0</v>
      </c>
      <c r="B247" s="1">
        <v>2014.0</v>
      </c>
      <c r="C247" s="1">
        <v>9.0</v>
      </c>
      <c r="D247" s="1" t="s">
        <v>25</v>
      </c>
      <c r="E247" s="1">
        <v>594953.6349064388</v>
      </c>
      <c r="F247" s="1">
        <v>662850.9907610841</v>
      </c>
      <c r="G247" s="1">
        <v>19366.0</v>
      </c>
      <c r="H247" s="1">
        <v>30.72</v>
      </c>
      <c r="I247" s="1">
        <v>34.23</v>
      </c>
      <c r="J247" s="1">
        <v>-3.51</v>
      </c>
      <c r="K247" s="1">
        <v>-11.41</v>
      </c>
      <c r="L247" s="1">
        <f t="shared" si="1"/>
        <v>-67897.35585</v>
      </c>
      <c r="M247" s="1" t="str">
        <f t="shared" si="2"/>
        <v>ON SALE</v>
      </c>
      <c r="N247" s="1">
        <f t="shared" si="3"/>
        <v>30.72155504</v>
      </c>
      <c r="O247" s="1">
        <f t="shared" si="4"/>
        <v>38.15022241</v>
      </c>
      <c r="P247" s="4">
        <f t="shared" si="5"/>
        <v>-0.04297495444</v>
      </c>
    </row>
    <row r="248" ht="15.75" customHeight="1">
      <c r="A248" s="3">
        <v>41884.0</v>
      </c>
      <c r="B248" s="1">
        <v>2014.0</v>
      </c>
      <c r="C248" s="1">
        <v>9.0</v>
      </c>
      <c r="D248" s="1" t="s">
        <v>25</v>
      </c>
      <c r="E248" s="1">
        <v>469469.9410251276</v>
      </c>
      <c r="F248" s="1">
        <v>523480.3033456417</v>
      </c>
      <c r="G248" s="1">
        <v>15291.0</v>
      </c>
      <c r="H248" s="1">
        <v>30.7</v>
      </c>
      <c r="I248" s="1">
        <v>34.23</v>
      </c>
      <c r="J248" s="1">
        <v>-3.53</v>
      </c>
      <c r="K248" s="1">
        <v>-11.5</v>
      </c>
      <c r="L248" s="1">
        <f t="shared" si="1"/>
        <v>-54010.36232</v>
      </c>
      <c r="M248" s="1" t="str">
        <f t="shared" si="2"/>
        <v>ON SALE</v>
      </c>
      <c r="N248" s="1">
        <f t="shared" si="3"/>
        <v>30.70237009</v>
      </c>
      <c r="O248" s="1">
        <f t="shared" si="4"/>
        <v>38.17126095</v>
      </c>
      <c r="P248" s="4">
        <f t="shared" si="5"/>
        <v>-0.04265474097</v>
      </c>
    </row>
    <row r="249" ht="15.75" customHeight="1">
      <c r="A249" s="3">
        <v>41885.0</v>
      </c>
      <c r="B249" s="1">
        <v>2014.0</v>
      </c>
      <c r="C249" s="1">
        <v>9.0</v>
      </c>
      <c r="D249" s="1" t="s">
        <v>25</v>
      </c>
      <c r="E249" s="1">
        <v>464067.7993402126</v>
      </c>
      <c r="F249" s="1">
        <v>517180.5432955554</v>
      </c>
      <c r="G249" s="1">
        <v>15100.0</v>
      </c>
      <c r="H249" s="1">
        <v>30.73</v>
      </c>
      <c r="I249" s="1">
        <v>34.25</v>
      </c>
      <c r="J249" s="1">
        <v>-3.52</v>
      </c>
      <c r="K249" s="1">
        <v>-11.45</v>
      </c>
      <c r="L249" s="1">
        <f t="shared" si="1"/>
        <v>-53112.74396</v>
      </c>
      <c r="M249" s="1" t="str">
        <f t="shared" si="2"/>
        <v>ON SALE</v>
      </c>
      <c r="N249" s="1">
        <f t="shared" si="3"/>
        <v>30.73296684</v>
      </c>
      <c r="O249" s="1">
        <f t="shared" si="4"/>
        <v>38.18800301</v>
      </c>
      <c r="P249" s="4">
        <f t="shared" si="5"/>
        <v>-0.04239673217</v>
      </c>
    </row>
    <row r="250" ht="15.75" customHeight="1">
      <c r="A250" s="3">
        <v>41886.0</v>
      </c>
      <c r="B250" s="1">
        <v>2014.0</v>
      </c>
      <c r="C250" s="1">
        <v>9.0</v>
      </c>
      <c r="D250" s="1" t="s">
        <v>25</v>
      </c>
      <c r="E250" s="1">
        <v>312311.9539811907</v>
      </c>
      <c r="F250" s="1">
        <v>348177.12054578186</v>
      </c>
      <c r="G250" s="1">
        <v>10164.0</v>
      </c>
      <c r="H250" s="1">
        <v>30.73</v>
      </c>
      <c r="I250" s="1">
        <v>34.26</v>
      </c>
      <c r="J250" s="1">
        <v>-3.53</v>
      </c>
      <c r="K250" s="1">
        <v>-11.48</v>
      </c>
      <c r="L250" s="1">
        <f t="shared" si="1"/>
        <v>-35865.16656</v>
      </c>
      <c r="M250" s="1" t="str">
        <f t="shared" si="2"/>
        <v>ON SALE</v>
      </c>
      <c r="N250" s="1">
        <f t="shared" si="3"/>
        <v>30.7272682</v>
      </c>
      <c r="O250" s="1">
        <f t="shared" si="4"/>
        <v>38.20460952</v>
      </c>
      <c r="P250" s="4">
        <f t="shared" si="5"/>
        <v>-0.04214198203</v>
      </c>
    </row>
    <row r="251" ht="15.75" customHeight="1">
      <c r="A251" s="3">
        <v>41887.0</v>
      </c>
      <c r="B251" s="1">
        <v>2014.0</v>
      </c>
      <c r="C251" s="1">
        <v>9.0</v>
      </c>
      <c r="D251" s="1" t="s">
        <v>25</v>
      </c>
      <c r="E251" s="1">
        <v>501279.0004444809</v>
      </c>
      <c r="F251" s="1">
        <v>558766.690346946</v>
      </c>
      <c r="G251" s="1">
        <v>16310.0</v>
      </c>
      <c r="H251" s="1">
        <v>30.73</v>
      </c>
      <c r="I251" s="1">
        <v>34.26</v>
      </c>
      <c r="J251" s="1">
        <v>-3.52</v>
      </c>
      <c r="K251" s="1">
        <v>-11.47</v>
      </c>
      <c r="L251" s="1">
        <f t="shared" si="1"/>
        <v>-57487.6899</v>
      </c>
      <c r="M251" s="1" t="str">
        <f t="shared" si="2"/>
        <v>ON SALE</v>
      </c>
      <c r="N251" s="1">
        <f t="shared" si="3"/>
        <v>30.73445742</v>
      </c>
      <c r="O251" s="1">
        <f t="shared" si="4"/>
        <v>38.21585087</v>
      </c>
      <c r="P251" s="4">
        <f t="shared" si="5"/>
        <v>-0.04196859822</v>
      </c>
    </row>
    <row r="252" ht="15.75" customHeight="1">
      <c r="A252" s="3">
        <v>41888.0</v>
      </c>
      <c r="B252" s="1">
        <v>2014.0</v>
      </c>
      <c r="C252" s="1">
        <v>9.0</v>
      </c>
      <c r="D252" s="1" t="s">
        <v>25</v>
      </c>
      <c r="E252" s="1">
        <v>552703.9037581525</v>
      </c>
      <c r="F252" s="1">
        <v>616169.8514311365</v>
      </c>
      <c r="G252" s="1">
        <v>17985.0</v>
      </c>
      <c r="H252" s="1">
        <v>30.73</v>
      </c>
      <c r="I252" s="1">
        <v>34.26</v>
      </c>
      <c r="J252" s="1">
        <v>-3.53</v>
      </c>
      <c r="K252" s="1">
        <v>-11.48</v>
      </c>
      <c r="L252" s="1">
        <f t="shared" si="1"/>
        <v>-63465.94767</v>
      </c>
      <c r="M252" s="1" t="str">
        <f t="shared" si="2"/>
        <v>ON SALE</v>
      </c>
      <c r="N252" s="1">
        <f t="shared" si="3"/>
        <v>30.73138192</v>
      </c>
      <c r="O252" s="1">
        <f t="shared" si="4"/>
        <v>38.23400922</v>
      </c>
      <c r="P252" s="4">
        <f t="shared" si="5"/>
        <v>-0.0416891693</v>
      </c>
    </row>
    <row r="253" ht="15.75" customHeight="1">
      <c r="A253" s="3">
        <v>41889.0</v>
      </c>
      <c r="B253" s="1">
        <v>2014.0</v>
      </c>
      <c r="C253" s="1">
        <v>9.0</v>
      </c>
      <c r="D253" s="1" t="s">
        <v>25</v>
      </c>
      <c r="E253" s="1">
        <v>234153.76221071577</v>
      </c>
      <c r="F253" s="1">
        <v>261088.38637296777</v>
      </c>
      <c r="G253" s="1">
        <v>7620.0</v>
      </c>
      <c r="H253" s="1">
        <v>30.73</v>
      </c>
      <c r="I253" s="1">
        <v>34.26</v>
      </c>
      <c r="J253" s="1">
        <v>-3.53</v>
      </c>
      <c r="K253" s="1">
        <v>-11.5</v>
      </c>
      <c r="L253" s="1">
        <f t="shared" si="1"/>
        <v>-26934.62416</v>
      </c>
      <c r="M253" s="1" t="str">
        <f t="shared" si="2"/>
        <v>ON SALE</v>
      </c>
      <c r="N253" s="1">
        <f t="shared" si="3"/>
        <v>30.72884019</v>
      </c>
      <c r="O253" s="1">
        <f t="shared" si="4"/>
        <v>38.2542212</v>
      </c>
      <c r="P253" s="4">
        <f t="shared" si="5"/>
        <v>-0.04137795286</v>
      </c>
    </row>
    <row r="254" ht="15.75" customHeight="1">
      <c r="A254" s="3">
        <v>41890.0</v>
      </c>
      <c r="B254" s="1">
        <v>2014.0</v>
      </c>
      <c r="C254" s="1">
        <v>9.0</v>
      </c>
      <c r="D254" s="1" t="s">
        <v>25</v>
      </c>
      <c r="E254" s="1">
        <v>244481.4977293058</v>
      </c>
      <c r="F254" s="1">
        <v>272633.3998027578</v>
      </c>
      <c r="G254" s="1">
        <v>7958.0</v>
      </c>
      <c r="H254" s="1">
        <v>30.72</v>
      </c>
      <c r="I254" s="1">
        <v>34.26</v>
      </c>
      <c r="J254" s="1">
        <v>-3.54</v>
      </c>
      <c r="K254" s="1">
        <v>-11.51</v>
      </c>
      <c r="L254" s="1">
        <f t="shared" si="1"/>
        <v>-28151.90207</v>
      </c>
      <c r="M254" s="1" t="str">
        <f t="shared" si="2"/>
        <v>ON SALE</v>
      </c>
      <c r="N254" s="1">
        <f t="shared" si="3"/>
        <v>30.72147496</v>
      </c>
      <c r="O254" s="1">
        <f t="shared" si="4"/>
        <v>38.26283963</v>
      </c>
      <c r="P254" s="4">
        <f t="shared" si="5"/>
        <v>-0.04124494148</v>
      </c>
    </row>
    <row r="255" ht="15.75" customHeight="1">
      <c r="A255" s="3">
        <v>41891.0</v>
      </c>
      <c r="B255" s="1">
        <v>2014.0</v>
      </c>
      <c r="C255" s="1">
        <v>9.0</v>
      </c>
      <c r="D255" s="1" t="s">
        <v>25</v>
      </c>
      <c r="E255" s="1">
        <v>122749.63527830881</v>
      </c>
      <c r="F255" s="1">
        <v>120070.95018859745</v>
      </c>
      <c r="G255" s="1">
        <v>3503.0</v>
      </c>
      <c r="H255" s="1">
        <v>35.04</v>
      </c>
      <c r="I255" s="1">
        <v>34.28</v>
      </c>
      <c r="J255" s="1">
        <v>0.76</v>
      </c>
      <c r="K255" s="1">
        <v>2.18</v>
      </c>
      <c r="L255" s="1">
        <f t="shared" si="1"/>
        <v>2678.68509</v>
      </c>
      <c r="M255" s="1" t="str">
        <f t="shared" si="2"/>
        <v>Regular</v>
      </c>
      <c r="N255" s="1">
        <f t="shared" si="3"/>
        <v>35.04128897</v>
      </c>
      <c r="O255" s="1">
        <f t="shared" si="4"/>
        <v>38.27189042</v>
      </c>
      <c r="P255" s="4">
        <f t="shared" si="5"/>
        <v>-0.04110532351</v>
      </c>
    </row>
    <row r="256" ht="15.75" customHeight="1">
      <c r="A256" s="3">
        <v>41892.0</v>
      </c>
      <c r="B256" s="1">
        <v>2014.0</v>
      </c>
      <c r="C256" s="1">
        <v>9.0</v>
      </c>
      <c r="D256" s="1" t="s">
        <v>25</v>
      </c>
      <c r="E256" s="1">
        <v>78736.40283972122</v>
      </c>
      <c r="F256" s="1">
        <v>77071.54270611012</v>
      </c>
      <c r="G256" s="1">
        <v>2247.0</v>
      </c>
      <c r="H256" s="1">
        <v>35.04</v>
      </c>
      <c r="I256" s="1">
        <v>34.3</v>
      </c>
      <c r="J256" s="1">
        <v>0.74</v>
      </c>
      <c r="K256" s="1">
        <v>2.11</v>
      </c>
      <c r="L256" s="1">
        <f t="shared" si="1"/>
        <v>1664.860134</v>
      </c>
      <c r="M256" s="1" t="str">
        <f t="shared" si="2"/>
        <v>Regular</v>
      </c>
      <c r="N256" s="1">
        <f t="shared" si="3"/>
        <v>35.04067772</v>
      </c>
      <c r="O256" s="1">
        <f t="shared" si="4"/>
        <v>38.27586994</v>
      </c>
      <c r="P256" s="4">
        <f t="shared" si="5"/>
        <v>-0.0411650681</v>
      </c>
    </row>
    <row r="257" ht="15.75" customHeight="1">
      <c r="A257" s="3">
        <v>41893.0</v>
      </c>
      <c r="B257" s="1">
        <v>2014.0</v>
      </c>
      <c r="C257" s="1">
        <v>9.0</v>
      </c>
      <c r="D257" s="1" t="s">
        <v>25</v>
      </c>
      <c r="E257" s="1">
        <v>70875.11066874111</v>
      </c>
      <c r="F257" s="1">
        <v>69489.36084683513</v>
      </c>
      <c r="G257" s="1">
        <v>2023.0</v>
      </c>
      <c r="H257" s="1">
        <v>35.03</v>
      </c>
      <c r="I257" s="1">
        <v>34.35</v>
      </c>
      <c r="J257" s="1">
        <v>0.68</v>
      </c>
      <c r="K257" s="1">
        <v>1.96</v>
      </c>
      <c r="L257" s="1">
        <f t="shared" si="1"/>
        <v>1385.749822</v>
      </c>
      <c r="M257" s="1" t="str">
        <f t="shared" si="2"/>
        <v>Regular</v>
      </c>
      <c r="N257" s="1">
        <f t="shared" si="3"/>
        <v>35.03465678</v>
      </c>
      <c r="O257" s="1">
        <f t="shared" si="4"/>
        <v>38.27841198</v>
      </c>
      <c r="P257" s="4">
        <f t="shared" si="5"/>
        <v>-0.04120303745</v>
      </c>
    </row>
    <row r="258" ht="15.75" customHeight="1">
      <c r="A258" s="3">
        <v>41894.0</v>
      </c>
      <c r="B258" s="1">
        <v>2014.0</v>
      </c>
      <c r="C258" s="1">
        <v>9.0</v>
      </c>
      <c r="D258" s="1" t="s">
        <v>25</v>
      </c>
      <c r="E258" s="1">
        <v>148634.39140687516</v>
      </c>
      <c r="F258" s="1">
        <v>145956.13969592098</v>
      </c>
      <c r="G258" s="1">
        <v>4242.0</v>
      </c>
      <c r="H258" s="1">
        <v>35.04</v>
      </c>
      <c r="I258" s="1">
        <v>34.41</v>
      </c>
      <c r="J258" s="1">
        <v>0.63</v>
      </c>
      <c r="K258" s="1">
        <v>1.8</v>
      </c>
      <c r="L258" s="1">
        <f t="shared" si="1"/>
        <v>2678.251711</v>
      </c>
      <c r="M258" s="1" t="str">
        <f t="shared" si="2"/>
        <v>Regular</v>
      </c>
      <c r="N258" s="1">
        <f t="shared" si="3"/>
        <v>35.03875328</v>
      </c>
      <c r="O258" s="1">
        <f t="shared" si="4"/>
        <v>38.28067464</v>
      </c>
      <c r="P258" s="4">
        <f t="shared" si="5"/>
        <v>-0.04123638129</v>
      </c>
    </row>
    <row r="259" ht="15.75" customHeight="1">
      <c r="A259" s="3">
        <v>41895.0</v>
      </c>
      <c r="B259" s="1">
        <v>2014.0</v>
      </c>
      <c r="C259" s="1">
        <v>9.0</v>
      </c>
      <c r="D259" s="1" t="s">
        <v>25</v>
      </c>
      <c r="E259" s="1">
        <v>171724.82878193396</v>
      </c>
      <c r="F259" s="1">
        <v>168652.2035714417</v>
      </c>
      <c r="G259" s="1">
        <v>4901.0</v>
      </c>
      <c r="H259" s="1">
        <v>35.04</v>
      </c>
      <c r="I259" s="1">
        <v>34.41</v>
      </c>
      <c r="J259" s="1">
        <v>0.63</v>
      </c>
      <c r="K259" s="1">
        <v>1.79</v>
      </c>
      <c r="L259" s="1">
        <f t="shared" si="1"/>
        <v>3072.62521</v>
      </c>
      <c r="M259" s="1" t="str">
        <f t="shared" si="2"/>
        <v>Regular</v>
      </c>
      <c r="N259" s="1">
        <f t="shared" si="3"/>
        <v>35.03873266</v>
      </c>
      <c r="O259" s="1">
        <f t="shared" si="4"/>
        <v>38.28535787</v>
      </c>
      <c r="P259" s="4">
        <f t="shared" si="5"/>
        <v>-0.04130466031</v>
      </c>
    </row>
    <row r="260" ht="15.75" customHeight="1">
      <c r="A260" s="3">
        <v>41896.0</v>
      </c>
      <c r="B260" s="1">
        <v>2014.0</v>
      </c>
      <c r="C260" s="1">
        <v>9.0</v>
      </c>
      <c r="D260" s="1" t="s">
        <v>25</v>
      </c>
      <c r="E260" s="1">
        <v>86435.6988349511</v>
      </c>
      <c r="F260" s="1">
        <v>84948.37457716375</v>
      </c>
      <c r="G260" s="1">
        <v>2467.0</v>
      </c>
      <c r="H260" s="1">
        <v>35.04</v>
      </c>
      <c r="I260" s="1">
        <v>34.43</v>
      </c>
      <c r="J260" s="1">
        <v>0.6</v>
      </c>
      <c r="K260" s="1">
        <v>1.72</v>
      </c>
      <c r="L260" s="1">
        <f t="shared" si="1"/>
        <v>1487.324258</v>
      </c>
      <c r="M260" s="1" t="str">
        <f t="shared" si="2"/>
        <v>Regular</v>
      </c>
      <c r="N260" s="1">
        <f t="shared" si="3"/>
        <v>35.03676483</v>
      </c>
      <c r="O260" s="1">
        <f t="shared" si="4"/>
        <v>38.29077659</v>
      </c>
      <c r="P260" s="4">
        <f t="shared" si="5"/>
        <v>-0.04138357427</v>
      </c>
    </row>
    <row r="261" ht="15.75" customHeight="1">
      <c r="A261" s="3">
        <v>41897.0</v>
      </c>
      <c r="B261" s="1">
        <v>2014.0</v>
      </c>
      <c r="C261" s="1">
        <v>9.0</v>
      </c>
      <c r="D261" s="1" t="s">
        <v>25</v>
      </c>
      <c r="E261" s="1">
        <v>120236.18270337001</v>
      </c>
      <c r="F261" s="1">
        <v>118094.04319314891</v>
      </c>
      <c r="G261" s="1">
        <v>3432.0</v>
      </c>
      <c r="H261" s="1">
        <v>35.03</v>
      </c>
      <c r="I261" s="1">
        <v>34.41</v>
      </c>
      <c r="J261" s="1">
        <v>0.62</v>
      </c>
      <c r="K261" s="1">
        <v>1.78</v>
      </c>
      <c r="L261" s="1">
        <f t="shared" si="1"/>
        <v>2142.13951</v>
      </c>
      <c r="M261" s="1" t="str">
        <f t="shared" si="2"/>
        <v>Regular</v>
      </c>
      <c r="N261" s="1">
        <f t="shared" si="3"/>
        <v>35.03385277</v>
      </c>
      <c r="O261" s="1">
        <f t="shared" si="4"/>
        <v>38.29349438</v>
      </c>
      <c r="P261" s="4">
        <f t="shared" si="5"/>
        <v>-0.04142291414</v>
      </c>
    </row>
    <row r="262" ht="15.75" customHeight="1">
      <c r="A262" s="3">
        <v>41898.0</v>
      </c>
      <c r="B262" s="1">
        <v>2014.0</v>
      </c>
      <c r="C262" s="1">
        <v>9.0</v>
      </c>
      <c r="D262" s="1" t="s">
        <v>25</v>
      </c>
      <c r="E262" s="1">
        <v>83204.1966941811</v>
      </c>
      <c r="F262" s="1">
        <v>81753.42459354558</v>
      </c>
      <c r="G262" s="1">
        <v>2375.0</v>
      </c>
      <c r="H262" s="1">
        <v>35.03</v>
      </c>
      <c r="I262" s="1">
        <v>34.42</v>
      </c>
      <c r="J262" s="1">
        <v>0.61</v>
      </c>
      <c r="K262" s="1">
        <v>1.74</v>
      </c>
      <c r="L262" s="1">
        <f t="shared" si="1"/>
        <v>1450.772101</v>
      </c>
      <c r="M262" s="1" t="str">
        <f t="shared" si="2"/>
        <v>Regular</v>
      </c>
      <c r="N262" s="1">
        <f t="shared" si="3"/>
        <v>35.03334598</v>
      </c>
      <c r="O262" s="1">
        <f t="shared" si="4"/>
        <v>38.29730537</v>
      </c>
      <c r="P262" s="4">
        <f t="shared" si="5"/>
        <v>-0.04147829485</v>
      </c>
    </row>
    <row r="263" ht="15.75" customHeight="1">
      <c r="A263" s="3">
        <v>41899.0</v>
      </c>
      <c r="B263" s="1">
        <v>2014.0</v>
      </c>
      <c r="C263" s="1">
        <v>9.0</v>
      </c>
      <c r="D263" s="1" t="s">
        <v>25</v>
      </c>
      <c r="E263" s="1">
        <v>73768.03473492098</v>
      </c>
      <c r="F263" s="1">
        <v>72471.9193234045</v>
      </c>
      <c r="G263" s="1">
        <v>2105.0</v>
      </c>
      <c r="H263" s="1">
        <v>35.04</v>
      </c>
      <c r="I263" s="1">
        <v>34.43</v>
      </c>
      <c r="J263" s="1">
        <v>0.62</v>
      </c>
      <c r="K263" s="1">
        <v>1.76</v>
      </c>
      <c r="L263" s="1">
        <f t="shared" si="1"/>
        <v>1296.115412</v>
      </c>
      <c r="M263" s="1" t="str">
        <f t="shared" si="2"/>
        <v>Regular</v>
      </c>
      <c r="N263" s="1">
        <f t="shared" si="3"/>
        <v>35.04419702</v>
      </c>
      <c r="O263" s="1">
        <f t="shared" si="4"/>
        <v>38.29993832</v>
      </c>
      <c r="P263" s="4">
        <f t="shared" si="5"/>
        <v>-0.04151643345</v>
      </c>
    </row>
    <row r="264" ht="15.75" customHeight="1">
      <c r="A264" s="3">
        <v>41900.0</v>
      </c>
      <c r="B264" s="1">
        <v>2014.0</v>
      </c>
      <c r="C264" s="1">
        <v>9.0</v>
      </c>
      <c r="D264" s="1" t="s">
        <v>25</v>
      </c>
      <c r="E264" s="1">
        <v>69425.44511577097</v>
      </c>
      <c r="F264" s="1">
        <v>68280.38327689518</v>
      </c>
      <c r="G264" s="1">
        <v>1982.0</v>
      </c>
      <c r="H264" s="1">
        <v>35.03</v>
      </c>
      <c r="I264" s="1">
        <v>34.45</v>
      </c>
      <c r="J264" s="1">
        <v>0.58</v>
      </c>
      <c r="K264" s="1">
        <v>1.65</v>
      </c>
      <c r="L264" s="1">
        <f t="shared" si="1"/>
        <v>1145.061839</v>
      </c>
      <c r="M264" s="1" t="str">
        <f t="shared" si="2"/>
        <v>Regular</v>
      </c>
      <c r="N264" s="1">
        <f t="shared" si="3"/>
        <v>35.02797433</v>
      </c>
      <c r="O264" s="1">
        <f t="shared" si="4"/>
        <v>38.30227134</v>
      </c>
      <c r="P264" s="4">
        <f t="shared" si="5"/>
        <v>-0.04155036495</v>
      </c>
    </row>
    <row r="265" ht="15.75" customHeight="1">
      <c r="A265" s="3">
        <v>41901.0</v>
      </c>
      <c r="B265" s="1">
        <v>2014.0</v>
      </c>
      <c r="C265" s="1">
        <v>9.0</v>
      </c>
      <c r="D265" s="1" t="s">
        <v>25</v>
      </c>
      <c r="E265" s="1">
        <v>137154.95408779135</v>
      </c>
      <c r="F265" s="1">
        <v>135276.90958604595</v>
      </c>
      <c r="G265" s="1">
        <v>3915.0</v>
      </c>
      <c r="H265" s="1">
        <v>35.03</v>
      </c>
      <c r="I265" s="1">
        <v>34.55</v>
      </c>
      <c r="J265" s="1">
        <v>0.48</v>
      </c>
      <c r="K265" s="1">
        <v>1.37</v>
      </c>
      <c r="L265" s="1">
        <f t="shared" si="1"/>
        <v>1878.044502</v>
      </c>
      <c r="M265" s="1" t="str">
        <f t="shared" si="2"/>
        <v>Regular</v>
      </c>
      <c r="N265" s="1">
        <f t="shared" si="3"/>
        <v>35.03319389</v>
      </c>
      <c r="O265" s="1">
        <f t="shared" si="4"/>
        <v>38.30445825</v>
      </c>
      <c r="P265" s="4">
        <f t="shared" si="5"/>
        <v>-0.04158175232</v>
      </c>
    </row>
    <row r="266" ht="15.75" customHeight="1">
      <c r="A266" s="3">
        <v>41902.0</v>
      </c>
      <c r="B266" s="1">
        <v>2014.0</v>
      </c>
      <c r="C266" s="1">
        <v>9.0</v>
      </c>
      <c r="D266" s="1" t="s">
        <v>25</v>
      </c>
      <c r="E266" s="1">
        <v>153569.06188021015</v>
      </c>
      <c r="F266" s="1">
        <v>151376.13558980462</v>
      </c>
      <c r="G266" s="1">
        <v>4383.0</v>
      </c>
      <c r="H266" s="1">
        <v>35.04</v>
      </c>
      <c r="I266" s="1">
        <v>34.54</v>
      </c>
      <c r="J266" s="1">
        <v>0.5</v>
      </c>
      <c r="K266" s="1">
        <v>1.43</v>
      </c>
      <c r="L266" s="1">
        <f t="shared" si="1"/>
        <v>2192.92629</v>
      </c>
      <c r="M266" s="1" t="str">
        <f t="shared" si="2"/>
        <v>Regular</v>
      </c>
      <c r="N266" s="1">
        <f t="shared" si="3"/>
        <v>35.03743141</v>
      </c>
      <c r="O266" s="1">
        <f t="shared" si="4"/>
        <v>38.30866938</v>
      </c>
      <c r="P266" s="4">
        <f t="shared" si="5"/>
        <v>-0.04164086522</v>
      </c>
    </row>
    <row r="267" ht="15.75" customHeight="1">
      <c r="A267" s="3">
        <v>41903.0</v>
      </c>
      <c r="B267" s="1">
        <v>2014.0</v>
      </c>
      <c r="C267" s="1">
        <v>9.0</v>
      </c>
      <c r="D267" s="1" t="s">
        <v>25</v>
      </c>
      <c r="E267" s="1">
        <v>75633.32058868634</v>
      </c>
      <c r="F267" s="1">
        <v>74546.66825359916</v>
      </c>
      <c r="G267" s="1">
        <v>2159.0</v>
      </c>
      <c r="H267" s="1">
        <v>35.03</v>
      </c>
      <c r="I267" s="1">
        <v>34.53</v>
      </c>
      <c r="J267" s="1">
        <v>0.5</v>
      </c>
      <c r="K267" s="1">
        <v>1.44</v>
      </c>
      <c r="L267" s="1">
        <f t="shared" si="1"/>
        <v>1086.652335</v>
      </c>
      <c r="M267" s="1" t="str">
        <f t="shared" si="2"/>
        <v>Regular</v>
      </c>
      <c r="N267" s="1">
        <f t="shared" si="3"/>
        <v>35.03164455</v>
      </c>
      <c r="O267" s="1">
        <f t="shared" si="4"/>
        <v>38.31341577</v>
      </c>
      <c r="P267" s="4">
        <f t="shared" si="5"/>
        <v>-0.04170790628</v>
      </c>
    </row>
    <row r="268" ht="15.75" customHeight="1">
      <c r="A268" s="3">
        <v>41904.0</v>
      </c>
      <c r="B268" s="1">
        <v>2014.0</v>
      </c>
      <c r="C268" s="1">
        <v>9.0</v>
      </c>
      <c r="D268" s="1" t="s">
        <v>25</v>
      </c>
      <c r="E268" s="1">
        <v>90815.92981269087</v>
      </c>
      <c r="F268" s="1">
        <v>89653.6375894529</v>
      </c>
      <c r="G268" s="1">
        <v>2592.0</v>
      </c>
      <c r="H268" s="1">
        <v>35.04</v>
      </c>
      <c r="I268" s="1">
        <v>34.59</v>
      </c>
      <c r="J268" s="1">
        <v>0.45</v>
      </c>
      <c r="K268" s="1">
        <v>1.28</v>
      </c>
      <c r="L268" s="1">
        <f t="shared" si="1"/>
        <v>1162.292223</v>
      </c>
      <c r="M268" s="1" t="str">
        <f t="shared" si="2"/>
        <v>Regular</v>
      </c>
      <c r="N268" s="1">
        <f t="shared" si="3"/>
        <v>35.03700996</v>
      </c>
      <c r="O268" s="1">
        <f t="shared" si="4"/>
        <v>38.31576361</v>
      </c>
      <c r="P268" s="4">
        <f t="shared" si="5"/>
        <v>-0.04174103514</v>
      </c>
    </row>
    <row r="269" ht="15.75" customHeight="1">
      <c r="A269" s="3">
        <v>41905.0</v>
      </c>
      <c r="B269" s="1">
        <v>2014.0</v>
      </c>
      <c r="C269" s="1">
        <v>9.0</v>
      </c>
      <c r="D269" s="1" t="s">
        <v>25</v>
      </c>
      <c r="E269" s="1">
        <v>110118.15639147014</v>
      </c>
      <c r="F269" s="1">
        <v>108880.40896318309</v>
      </c>
      <c r="G269" s="1">
        <v>3143.0</v>
      </c>
      <c r="H269" s="1">
        <v>35.04</v>
      </c>
      <c r="I269" s="1">
        <v>34.64</v>
      </c>
      <c r="J269" s="1">
        <v>0.39</v>
      </c>
      <c r="K269" s="1">
        <v>1.12</v>
      </c>
      <c r="L269" s="1">
        <f t="shared" si="1"/>
        <v>1237.747428</v>
      </c>
      <c r="M269" s="1" t="str">
        <f t="shared" si="2"/>
        <v>Regular</v>
      </c>
      <c r="N269" s="1">
        <f t="shared" si="3"/>
        <v>35.03600267</v>
      </c>
      <c r="O269" s="1">
        <f t="shared" si="4"/>
        <v>38.31854125</v>
      </c>
      <c r="P269" s="4">
        <f t="shared" si="5"/>
        <v>-0.04177975217</v>
      </c>
    </row>
    <row r="270" ht="15.75" customHeight="1">
      <c r="A270" s="3">
        <v>41906.0</v>
      </c>
      <c r="B270" s="1">
        <v>2014.0</v>
      </c>
      <c r="C270" s="1">
        <v>9.0</v>
      </c>
      <c r="D270" s="1" t="s">
        <v>25</v>
      </c>
      <c r="E270" s="1">
        <v>209908.3831116397</v>
      </c>
      <c r="F270" s="1">
        <v>223554.08660175066</v>
      </c>
      <c r="G270" s="1">
        <v>6457.0</v>
      </c>
      <c r="H270" s="1">
        <v>32.51</v>
      </c>
      <c r="I270" s="1">
        <v>34.62</v>
      </c>
      <c r="J270" s="1">
        <v>-2.11</v>
      </c>
      <c r="K270" s="1">
        <v>-6.5</v>
      </c>
      <c r="L270" s="1">
        <f t="shared" si="1"/>
        <v>-13645.70349</v>
      </c>
      <c r="M270" s="1" t="str">
        <f t="shared" si="2"/>
        <v>ON SALE</v>
      </c>
      <c r="N270" s="1">
        <f t="shared" si="3"/>
        <v>32.50865466</v>
      </c>
      <c r="O270" s="1">
        <f t="shared" si="4"/>
        <v>38.32186645</v>
      </c>
      <c r="P270" s="4">
        <f t="shared" si="5"/>
        <v>-0.04182542964</v>
      </c>
    </row>
    <row r="271" ht="15.75" customHeight="1">
      <c r="A271" s="3">
        <v>41907.0</v>
      </c>
      <c r="B271" s="1">
        <v>2014.0</v>
      </c>
      <c r="C271" s="1">
        <v>9.0</v>
      </c>
      <c r="D271" s="1" t="s">
        <v>25</v>
      </c>
      <c r="E271" s="1">
        <v>358365.68296879344</v>
      </c>
      <c r="F271" s="1">
        <v>382967.98317568295</v>
      </c>
      <c r="G271" s="1">
        <v>11039.0</v>
      </c>
      <c r="H271" s="1">
        <v>32.46</v>
      </c>
      <c r="I271" s="1">
        <v>34.69</v>
      </c>
      <c r="J271" s="1">
        <v>-2.23</v>
      </c>
      <c r="K271" s="1">
        <v>-6.87</v>
      </c>
      <c r="L271" s="1">
        <f t="shared" si="1"/>
        <v>-24602.30021</v>
      </c>
      <c r="M271" s="1" t="str">
        <f t="shared" si="2"/>
        <v>ON SALE</v>
      </c>
      <c r="N271" s="1">
        <f t="shared" si="3"/>
        <v>32.46360023</v>
      </c>
      <c r="O271" s="1">
        <f t="shared" si="4"/>
        <v>38.32875429</v>
      </c>
      <c r="P271" s="4">
        <f t="shared" si="5"/>
        <v>-0.04178729609</v>
      </c>
    </row>
    <row r="272" ht="15.75" customHeight="1">
      <c r="A272" s="3">
        <v>41908.0</v>
      </c>
      <c r="B272" s="1">
        <v>2014.0</v>
      </c>
      <c r="C272" s="1">
        <v>9.0</v>
      </c>
      <c r="D272" s="1" t="s">
        <v>25</v>
      </c>
      <c r="E272" s="1">
        <v>585463.9960073602</v>
      </c>
      <c r="F272" s="1">
        <v>625980.9302094147</v>
      </c>
      <c r="G272" s="1">
        <v>18036.0</v>
      </c>
      <c r="H272" s="1">
        <v>32.46</v>
      </c>
      <c r="I272" s="1">
        <v>34.71</v>
      </c>
      <c r="J272" s="1">
        <v>-2.25</v>
      </c>
      <c r="K272" s="1">
        <v>-6.92</v>
      </c>
      <c r="L272" s="1">
        <f t="shared" si="1"/>
        <v>-40516.9342</v>
      </c>
      <c r="M272" s="1" t="str">
        <f t="shared" si="2"/>
        <v>ON SALE</v>
      </c>
      <c r="N272" s="1">
        <f t="shared" si="3"/>
        <v>32.46085584</v>
      </c>
      <c r="O272" s="1">
        <f t="shared" si="4"/>
        <v>38.34036501</v>
      </c>
      <c r="P272" s="4">
        <f t="shared" si="5"/>
        <v>-0.04171164109</v>
      </c>
    </row>
    <row r="273" ht="15.75" customHeight="1">
      <c r="A273" s="3">
        <v>41909.0</v>
      </c>
      <c r="B273" s="1">
        <v>2014.0</v>
      </c>
      <c r="C273" s="1">
        <v>9.0</v>
      </c>
      <c r="D273" s="1" t="s">
        <v>25</v>
      </c>
      <c r="E273" s="1">
        <v>617019.0915344206</v>
      </c>
      <c r="F273" s="1">
        <v>661010.5912638623</v>
      </c>
      <c r="G273" s="1">
        <v>19017.0</v>
      </c>
      <c r="H273" s="1">
        <v>32.45</v>
      </c>
      <c r="I273" s="1">
        <v>34.76</v>
      </c>
      <c r="J273" s="1">
        <v>-2.31</v>
      </c>
      <c r="K273" s="1">
        <v>-7.13</v>
      </c>
      <c r="L273" s="1">
        <f t="shared" si="1"/>
        <v>-43991.49973</v>
      </c>
      <c r="M273" s="1" t="str">
        <f t="shared" si="2"/>
        <v>ON SALE</v>
      </c>
      <c r="N273" s="1">
        <f t="shared" si="3"/>
        <v>32.4456587</v>
      </c>
      <c r="O273" s="1">
        <f t="shared" si="4"/>
        <v>38.35941665</v>
      </c>
      <c r="P273" s="4">
        <f t="shared" si="5"/>
        <v>-0.04158456403</v>
      </c>
    </row>
    <row r="274" ht="15.75" customHeight="1">
      <c r="A274" s="3">
        <v>41910.0</v>
      </c>
      <c r="B274" s="1">
        <v>2014.0</v>
      </c>
      <c r="C274" s="1">
        <v>9.0</v>
      </c>
      <c r="D274" s="1" t="s">
        <v>25</v>
      </c>
      <c r="E274" s="1">
        <v>283850.5971054995</v>
      </c>
      <c r="F274" s="1">
        <v>304440.6515064546</v>
      </c>
      <c r="G274" s="1">
        <v>8747.0</v>
      </c>
      <c r="H274" s="1">
        <v>32.45</v>
      </c>
      <c r="I274" s="1">
        <v>34.81</v>
      </c>
      <c r="J274" s="1">
        <v>-2.35</v>
      </c>
      <c r="K274" s="1">
        <v>-7.25</v>
      </c>
      <c r="L274" s="1">
        <f t="shared" si="1"/>
        <v>-20590.0544</v>
      </c>
      <c r="M274" s="1" t="str">
        <f t="shared" si="2"/>
        <v>ON SALE</v>
      </c>
      <c r="N274" s="1">
        <f t="shared" si="3"/>
        <v>32.45119436</v>
      </c>
      <c r="O274" s="1">
        <f t="shared" si="4"/>
        <v>38.37943509</v>
      </c>
      <c r="P274" s="4">
        <f t="shared" si="5"/>
        <v>-0.04143911969</v>
      </c>
    </row>
    <row r="275" ht="15.75" customHeight="1">
      <c r="A275" s="3">
        <v>41911.0</v>
      </c>
      <c r="B275" s="1">
        <v>2014.0</v>
      </c>
      <c r="C275" s="1">
        <v>9.0</v>
      </c>
      <c r="D275" s="1" t="s">
        <v>25</v>
      </c>
      <c r="E275" s="1">
        <v>264317.1103681058</v>
      </c>
      <c r="F275" s="1">
        <v>283912.9686974417</v>
      </c>
      <c r="G275" s="1">
        <v>8147.0</v>
      </c>
      <c r="H275" s="1">
        <v>32.44</v>
      </c>
      <c r="I275" s="1">
        <v>34.85</v>
      </c>
      <c r="J275" s="1">
        <v>-2.41</v>
      </c>
      <c r="K275" s="1">
        <v>-7.41</v>
      </c>
      <c r="L275" s="1">
        <f t="shared" si="1"/>
        <v>-19595.85833</v>
      </c>
      <c r="M275" s="1" t="str">
        <f t="shared" si="2"/>
        <v>ON SALE</v>
      </c>
      <c r="N275" s="1">
        <f t="shared" si="3"/>
        <v>32.44348967</v>
      </c>
      <c r="O275" s="1">
        <f t="shared" si="4"/>
        <v>38.38859915</v>
      </c>
      <c r="P275" s="4">
        <f t="shared" si="5"/>
        <v>-0.04136892873</v>
      </c>
    </row>
    <row r="276" ht="15.75" customHeight="1">
      <c r="A276" s="3">
        <v>41912.0</v>
      </c>
      <c r="B276" s="1">
        <v>2014.0</v>
      </c>
      <c r="C276" s="1">
        <v>9.0</v>
      </c>
      <c r="D276" s="1" t="s">
        <v>25</v>
      </c>
      <c r="E276" s="1">
        <v>358024.9813488259</v>
      </c>
      <c r="F276" s="1">
        <v>384823.4398780722</v>
      </c>
      <c r="G276" s="1">
        <v>11036.0</v>
      </c>
      <c r="H276" s="1">
        <v>32.44</v>
      </c>
      <c r="I276" s="1">
        <v>34.87</v>
      </c>
      <c r="J276" s="1">
        <v>-2.43</v>
      </c>
      <c r="K276" s="1">
        <v>-7.49</v>
      </c>
      <c r="L276" s="1">
        <f t="shared" si="1"/>
        <v>-26798.45853</v>
      </c>
      <c r="M276" s="1" t="str">
        <f t="shared" si="2"/>
        <v>ON SALE</v>
      </c>
      <c r="N276" s="1">
        <f t="shared" si="3"/>
        <v>32.44155322</v>
      </c>
      <c r="O276" s="1">
        <f t="shared" si="4"/>
        <v>38.39707254</v>
      </c>
      <c r="P276" s="4">
        <f t="shared" si="5"/>
        <v>-0.04129991418</v>
      </c>
    </row>
    <row r="277" ht="15.75" customHeight="1">
      <c r="A277" s="3">
        <v>41913.0</v>
      </c>
      <c r="B277" s="1">
        <v>2014.0</v>
      </c>
      <c r="C277" s="1">
        <v>10.0</v>
      </c>
      <c r="D277" s="1" t="s">
        <v>26</v>
      </c>
      <c r="E277" s="1">
        <v>594438.2807802997</v>
      </c>
      <c r="F277" s="1">
        <v>639306.5687824654</v>
      </c>
      <c r="G277" s="1">
        <v>18330.0</v>
      </c>
      <c r="H277" s="1">
        <v>32.43</v>
      </c>
      <c r="I277" s="1">
        <v>34.88</v>
      </c>
      <c r="J277" s="1">
        <v>-2.45</v>
      </c>
      <c r="K277" s="1">
        <v>-7.55</v>
      </c>
      <c r="L277" s="1">
        <f t="shared" si="1"/>
        <v>-44868.288</v>
      </c>
      <c r="M277" s="1" t="str">
        <f t="shared" si="2"/>
        <v>ON SALE</v>
      </c>
      <c r="N277" s="1">
        <f t="shared" si="3"/>
        <v>32.42980255</v>
      </c>
      <c r="O277" s="1">
        <f t="shared" si="4"/>
        <v>38.40854708</v>
      </c>
      <c r="P277" s="4">
        <f t="shared" si="5"/>
        <v>-0.04120392694</v>
      </c>
    </row>
    <row r="278" ht="15.75" customHeight="1">
      <c r="A278" s="3">
        <v>41914.0</v>
      </c>
      <c r="B278" s="1">
        <v>2014.0</v>
      </c>
      <c r="C278" s="1">
        <v>10.0</v>
      </c>
      <c r="D278" s="1" t="s">
        <v>26</v>
      </c>
      <c r="E278" s="1">
        <v>470507.6630444389</v>
      </c>
      <c r="F278" s="1">
        <v>506072.0333414291</v>
      </c>
      <c r="G278" s="1">
        <v>14503.0</v>
      </c>
      <c r="H278" s="1">
        <v>32.44</v>
      </c>
      <c r="I278" s="1">
        <v>34.89</v>
      </c>
      <c r="J278" s="1">
        <v>-2.45</v>
      </c>
      <c r="K278" s="1">
        <v>-7.56</v>
      </c>
      <c r="L278" s="1">
        <f t="shared" si="1"/>
        <v>-35564.3703</v>
      </c>
      <c r="M278" s="1" t="str">
        <f t="shared" si="2"/>
        <v>ON SALE</v>
      </c>
      <c r="N278" s="1">
        <f t="shared" si="3"/>
        <v>32.44209219</v>
      </c>
      <c r="O278" s="1">
        <f t="shared" si="4"/>
        <v>38.42772907</v>
      </c>
      <c r="P278" s="4">
        <f t="shared" si="5"/>
        <v>-0.04104033434</v>
      </c>
    </row>
    <row r="279" ht="15.75" customHeight="1">
      <c r="A279" s="3">
        <v>41915.0</v>
      </c>
      <c r="B279" s="1">
        <v>2014.0</v>
      </c>
      <c r="C279" s="1">
        <v>10.0</v>
      </c>
      <c r="D279" s="1" t="s">
        <v>26</v>
      </c>
      <c r="E279" s="1">
        <v>518693.52866487246</v>
      </c>
      <c r="F279" s="1">
        <v>557939.3692763688</v>
      </c>
      <c r="G279" s="1">
        <v>15986.0</v>
      </c>
      <c r="H279" s="1">
        <v>32.45</v>
      </c>
      <c r="I279" s="1">
        <v>34.9</v>
      </c>
      <c r="J279" s="1">
        <v>-2.46</v>
      </c>
      <c r="K279" s="1">
        <v>-7.57</v>
      </c>
      <c r="L279" s="1">
        <f t="shared" si="1"/>
        <v>-39245.84061</v>
      </c>
      <c r="M279" s="1" t="str">
        <f t="shared" si="2"/>
        <v>ON SALE</v>
      </c>
      <c r="N279" s="1">
        <f t="shared" si="3"/>
        <v>32.44673644</v>
      </c>
      <c r="O279" s="1">
        <f t="shared" si="4"/>
        <v>38.44298245</v>
      </c>
      <c r="P279" s="4">
        <f t="shared" si="5"/>
        <v>-0.04090933067</v>
      </c>
    </row>
    <row r="280" ht="15.75" customHeight="1">
      <c r="A280" s="3">
        <v>41916.0</v>
      </c>
      <c r="B280" s="1">
        <v>2014.0</v>
      </c>
      <c r="C280" s="1">
        <v>10.0</v>
      </c>
      <c r="D280" s="1" t="s">
        <v>26</v>
      </c>
      <c r="E280" s="1">
        <v>656245.8284286658</v>
      </c>
      <c r="F280" s="1">
        <v>705891.3002624522</v>
      </c>
      <c r="G280" s="1">
        <v>20223.0</v>
      </c>
      <c r="H280" s="1">
        <v>32.45</v>
      </c>
      <c r="I280" s="1">
        <v>34.91</v>
      </c>
      <c r="J280" s="1">
        <v>-2.45</v>
      </c>
      <c r="K280" s="1">
        <v>-7.57</v>
      </c>
      <c r="L280" s="1">
        <f t="shared" si="1"/>
        <v>-49645.47183</v>
      </c>
      <c r="M280" s="1" t="str">
        <f t="shared" si="2"/>
        <v>ON SALE</v>
      </c>
      <c r="N280" s="1">
        <f t="shared" si="3"/>
        <v>32.4504687</v>
      </c>
      <c r="O280" s="1">
        <f t="shared" si="4"/>
        <v>38.45991326</v>
      </c>
      <c r="P280" s="4">
        <f t="shared" si="5"/>
        <v>-0.04076343684</v>
      </c>
    </row>
    <row r="281" ht="15.75" customHeight="1">
      <c r="A281" s="3">
        <v>41917.0</v>
      </c>
      <c r="B281" s="1">
        <v>2014.0</v>
      </c>
      <c r="C281" s="1">
        <v>10.0</v>
      </c>
      <c r="D281" s="1" t="s">
        <v>26</v>
      </c>
      <c r="E281" s="1">
        <v>280055.1177167632</v>
      </c>
      <c r="F281" s="1">
        <v>301279.65498243197</v>
      </c>
      <c r="G281" s="1">
        <v>8631.0</v>
      </c>
      <c r="H281" s="1">
        <v>32.45</v>
      </c>
      <c r="I281" s="1">
        <v>34.91</v>
      </c>
      <c r="J281" s="1">
        <v>-2.46</v>
      </c>
      <c r="K281" s="1">
        <v>-7.58</v>
      </c>
      <c r="L281" s="1">
        <f t="shared" si="1"/>
        <v>-21224.53727</v>
      </c>
      <c r="M281" s="1" t="str">
        <f t="shared" si="2"/>
        <v>ON SALE</v>
      </c>
      <c r="N281" s="1">
        <f t="shared" si="3"/>
        <v>32.44758634</v>
      </c>
      <c r="O281" s="1">
        <f t="shared" si="4"/>
        <v>38.4815428</v>
      </c>
      <c r="P281" s="4">
        <f t="shared" si="5"/>
        <v>-0.04057715368</v>
      </c>
    </row>
    <row r="282" ht="15.75" customHeight="1">
      <c r="A282" s="3">
        <v>41918.0</v>
      </c>
      <c r="B282" s="1">
        <v>2014.0</v>
      </c>
      <c r="C282" s="1">
        <v>10.0</v>
      </c>
      <c r="D282" s="1" t="s">
        <v>26</v>
      </c>
      <c r="E282" s="1">
        <v>375648.0174559537</v>
      </c>
      <c r="F282" s="1">
        <v>404178.9210552279</v>
      </c>
      <c r="G282" s="1">
        <v>11579.0</v>
      </c>
      <c r="H282" s="1">
        <v>32.44</v>
      </c>
      <c r="I282" s="1">
        <v>34.91</v>
      </c>
      <c r="J282" s="1">
        <v>-2.46</v>
      </c>
      <c r="K282" s="1">
        <v>-7.6</v>
      </c>
      <c r="L282" s="1">
        <f t="shared" si="1"/>
        <v>-28530.9036</v>
      </c>
      <c r="M282" s="1" t="str">
        <f t="shared" si="2"/>
        <v>ON SALE</v>
      </c>
      <c r="N282" s="1">
        <f t="shared" si="3"/>
        <v>32.44218132</v>
      </c>
      <c r="O282" s="1">
        <f t="shared" si="4"/>
        <v>38.49085102</v>
      </c>
      <c r="P282" s="4">
        <f t="shared" si="5"/>
        <v>-0.04049673846</v>
      </c>
    </row>
    <row r="283" ht="15.75" customHeight="1">
      <c r="A283" s="3">
        <v>41919.0</v>
      </c>
      <c r="B283" s="1">
        <v>2014.0</v>
      </c>
      <c r="C283" s="1">
        <v>10.0</v>
      </c>
      <c r="D283" s="1" t="s">
        <v>26</v>
      </c>
      <c r="E283" s="1">
        <v>78111.71646312073</v>
      </c>
      <c r="F283" s="1">
        <v>74251.87472596546</v>
      </c>
      <c r="G283" s="1">
        <v>2127.0</v>
      </c>
      <c r="H283" s="1">
        <v>36.72</v>
      </c>
      <c r="I283" s="1">
        <v>34.91</v>
      </c>
      <c r="J283" s="1">
        <v>1.81</v>
      </c>
      <c r="K283" s="1">
        <v>4.94</v>
      </c>
      <c r="L283" s="1">
        <f t="shared" si="1"/>
        <v>3859.841737</v>
      </c>
      <c r="M283" s="1" t="str">
        <f t="shared" si="2"/>
        <v>Regular</v>
      </c>
      <c r="N283" s="1">
        <f t="shared" si="3"/>
        <v>36.72389114</v>
      </c>
      <c r="O283" s="1">
        <f t="shared" si="4"/>
        <v>38.50341666</v>
      </c>
      <c r="P283" s="4">
        <f t="shared" si="5"/>
        <v>-0.04038779162</v>
      </c>
    </row>
    <row r="284" ht="15.75" customHeight="1">
      <c r="A284" s="3">
        <v>41920.0</v>
      </c>
      <c r="B284" s="1">
        <v>2014.0</v>
      </c>
      <c r="C284" s="1">
        <v>10.0</v>
      </c>
      <c r="D284" s="1" t="s">
        <v>26</v>
      </c>
      <c r="E284" s="1">
        <v>70509.13279154037</v>
      </c>
      <c r="F284" s="1">
        <v>67141.97962908403</v>
      </c>
      <c r="G284" s="1">
        <v>1923.0</v>
      </c>
      <c r="H284" s="1">
        <v>36.67</v>
      </c>
      <c r="I284" s="1">
        <v>34.92</v>
      </c>
      <c r="J284" s="1">
        <v>1.75</v>
      </c>
      <c r="K284" s="1">
        <v>4.78</v>
      </c>
      <c r="L284" s="1">
        <f t="shared" si="1"/>
        <v>3367.153162</v>
      </c>
      <c r="M284" s="1" t="str">
        <f t="shared" si="2"/>
        <v>Regular</v>
      </c>
      <c r="N284" s="1">
        <f t="shared" si="3"/>
        <v>36.6662157</v>
      </c>
      <c r="O284" s="1">
        <f t="shared" si="4"/>
        <v>38.50573255</v>
      </c>
      <c r="P284" s="4">
        <f t="shared" si="5"/>
        <v>-0.04044520904</v>
      </c>
    </row>
    <row r="285" ht="15.75" customHeight="1">
      <c r="A285" s="3">
        <v>41921.0</v>
      </c>
      <c r="B285" s="1">
        <v>2014.0</v>
      </c>
      <c r="C285" s="1">
        <v>10.0</v>
      </c>
      <c r="D285" s="1" t="s">
        <v>26</v>
      </c>
      <c r="E285" s="1">
        <v>103281.31104757206</v>
      </c>
      <c r="F285" s="1">
        <v>98065.93907845089</v>
      </c>
      <c r="G285" s="1">
        <v>2809.0</v>
      </c>
      <c r="H285" s="1">
        <v>36.77</v>
      </c>
      <c r="I285" s="1">
        <v>34.91</v>
      </c>
      <c r="J285" s="1">
        <v>1.86</v>
      </c>
      <c r="K285" s="1">
        <v>5.05</v>
      </c>
      <c r="L285" s="1">
        <f t="shared" si="1"/>
        <v>5215.371969</v>
      </c>
      <c r="M285" s="1" t="str">
        <f t="shared" si="2"/>
        <v>Regular</v>
      </c>
      <c r="N285" s="1">
        <f t="shared" si="3"/>
        <v>36.76799966</v>
      </c>
      <c r="O285" s="1">
        <f t="shared" si="4"/>
        <v>38.50782539</v>
      </c>
      <c r="P285" s="4">
        <f t="shared" si="5"/>
        <v>-0.04049614279</v>
      </c>
    </row>
    <row r="286" ht="15.75" customHeight="1">
      <c r="A286" s="3">
        <v>41922.0</v>
      </c>
      <c r="B286" s="1">
        <v>2014.0</v>
      </c>
      <c r="C286" s="1">
        <v>10.0</v>
      </c>
      <c r="D286" s="1" t="s">
        <v>26</v>
      </c>
      <c r="E286" s="1">
        <v>179841.43177972364</v>
      </c>
      <c r="F286" s="1">
        <v>170757.58117720697</v>
      </c>
      <c r="G286" s="1">
        <v>4891.0</v>
      </c>
      <c r="H286" s="1">
        <v>36.77</v>
      </c>
      <c r="I286" s="1">
        <v>34.91</v>
      </c>
      <c r="J286" s="1">
        <v>1.86</v>
      </c>
      <c r="K286" s="1">
        <v>5.05</v>
      </c>
      <c r="L286" s="1">
        <f t="shared" si="1"/>
        <v>9083.850603</v>
      </c>
      <c r="M286" s="1" t="str">
        <f t="shared" si="2"/>
        <v>Regular</v>
      </c>
      <c r="N286" s="1">
        <f t="shared" si="3"/>
        <v>36.76986951</v>
      </c>
      <c r="O286" s="1">
        <f t="shared" si="4"/>
        <v>38.51089018</v>
      </c>
      <c r="P286" s="4">
        <f t="shared" si="5"/>
        <v>-0.04057317781</v>
      </c>
    </row>
    <row r="287" ht="15.75" customHeight="1">
      <c r="A287" s="3">
        <v>41923.0</v>
      </c>
      <c r="B287" s="1">
        <v>2014.0</v>
      </c>
      <c r="C287" s="1">
        <v>10.0</v>
      </c>
      <c r="D287" s="1" t="s">
        <v>26</v>
      </c>
      <c r="E287" s="1">
        <v>138038.23975289488</v>
      </c>
      <c r="F287" s="1">
        <v>131192.31677147365</v>
      </c>
      <c r="G287" s="1">
        <v>3758.0</v>
      </c>
      <c r="H287" s="1">
        <v>36.73</v>
      </c>
      <c r="I287" s="1">
        <v>34.91</v>
      </c>
      <c r="J287" s="1">
        <v>1.82</v>
      </c>
      <c r="K287" s="1">
        <v>4.96</v>
      </c>
      <c r="L287" s="1">
        <f t="shared" si="1"/>
        <v>6845.922981</v>
      </c>
      <c r="M287" s="1" t="str">
        <f t="shared" si="2"/>
        <v>Regular</v>
      </c>
      <c r="N287" s="1">
        <f t="shared" si="3"/>
        <v>36.73183602</v>
      </c>
      <c r="O287" s="1">
        <f t="shared" si="4"/>
        <v>38.51623714</v>
      </c>
      <c r="P287" s="4">
        <f t="shared" si="5"/>
        <v>-0.04070764896</v>
      </c>
    </row>
    <row r="288" ht="15.75" customHeight="1">
      <c r="A288" s="3">
        <v>41924.0</v>
      </c>
      <c r="B288" s="1">
        <v>2014.0</v>
      </c>
      <c r="C288" s="1">
        <v>10.0</v>
      </c>
      <c r="D288" s="1" t="s">
        <v>26</v>
      </c>
      <c r="E288" s="1">
        <v>61037.56222997037</v>
      </c>
      <c r="F288" s="1">
        <v>57992.34151118769</v>
      </c>
      <c r="G288" s="1">
        <v>1661.0</v>
      </c>
      <c r="H288" s="1">
        <v>36.75</v>
      </c>
      <c r="I288" s="1">
        <v>34.91</v>
      </c>
      <c r="J288" s="1">
        <v>1.83</v>
      </c>
      <c r="K288" s="1">
        <v>4.99</v>
      </c>
      <c r="L288" s="1">
        <f t="shared" si="1"/>
        <v>3045.220719</v>
      </c>
      <c r="M288" s="1" t="str">
        <f t="shared" si="2"/>
        <v>Regular</v>
      </c>
      <c r="N288" s="1">
        <f t="shared" si="3"/>
        <v>36.74747877</v>
      </c>
      <c r="O288" s="1">
        <f t="shared" si="4"/>
        <v>38.52035911</v>
      </c>
      <c r="P288" s="4">
        <f t="shared" si="5"/>
        <v>-0.04081009355</v>
      </c>
    </row>
    <row r="289" ht="15.75" customHeight="1">
      <c r="A289" s="3">
        <v>41925.0</v>
      </c>
      <c r="B289" s="1">
        <v>2014.0</v>
      </c>
      <c r="C289" s="1">
        <v>10.0</v>
      </c>
      <c r="D289" s="1" t="s">
        <v>26</v>
      </c>
      <c r="E289" s="1">
        <v>86799.75945404172</v>
      </c>
      <c r="F289" s="1">
        <v>82392.33326461639</v>
      </c>
      <c r="G289" s="1">
        <v>2360.0</v>
      </c>
      <c r="H289" s="1">
        <v>36.78</v>
      </c>
      <c r="I289" s="1">
        <v>34.91</v>
      </c>
      <c r="J289" s="1">
        <v>1.87</v>
      </c>
      <c r="K289" s="1">
        <v>5.08</v>
      </c>
      <c r="L289" s="1">
        <f t="shared" si="1"/>
        <v>4407.426189</v>
      </c>
      <c r="M289" s="1" t="str">
        <f t="shared" si="2"/>
        <v>Regular</v>
      </c>
      <c r="N289" s="1">
        <f t="shared" si="3"/>
        <v>36.77955909</v>
      </c>
      <c r="O289" s="1">
        <f t="shared" si="4"/>
        <v>38.52218198</v>
      </c>
      <c r="P289" s="4">
        <f t="shared" si="5"/>
        <v>-0.04085561534</v>
      </c>
    </row>
    <row r="290" ht="15.75" customHeight="1">
      <c r="A290" s="3">
        <v>41926.0</v>
      </c>
      <c r="B290" s="1">
        <v>2014.0</v>
      </c>
      <c r="C290" s="1">
        <v>10.0</v>
      </c>
      <c r="D290" s="1" t="s">
        <v>26</v>
      </c>
      <c r="E290" s="1">
        <v>69570.50146670073</v>
      </c>
      <c r="F290" s="1">
        <v>66313.9409792702</v>
      </c>
      <c r="G290" s="1">
        <v>1894.0</v>
      </c>
      <c r="H290" s="1">
        <v>36.73</v>
      </c>
      <c r="I290" s="1">
        <v>35.01</v>
      </c>
      <c r="J290" s="1">
        <v>1.72</v>
      </c>
      <c r="K290" s="1">
        <v>4.68</v>
      </c>
      <c r="L290" s="1">
        <f t="shared" si="1"/>
        <v>3256.560487</v>
      </c>
      <c r="M290" s="1" t="str">
        <f t="shared" si="2"/>
        <v>Regular</v>
      </c>
      <c r="N290" s="1">
        <f t="shared" si="3"/>
        <v>36.73204935</v>
      </c>
      <c r="O290" s="1">
        <f t="shared" si="4"/>
        <v>38.52477665</v>
      </c>
      <c r="P290" s="4">
        <f t="shared" si="5"/>
        <v>-0.04092106213</v>
      </c>
    </row>
    <row r="291" ht="15.75" customHeight="1">
      <c r="A291" s="3">
        <v>41927.0</v>
      </c>
      <c r="B291" s="1">
        <v>2014.0</v>
      </c>
      <c r="C291" s="1">
        <v>10.0</v>
      </c>
      <c r="D291" s="1" t="s">
        <v>26</v>
      </c>
      <c r="E291" s="1">
        <v>130476.35534524244</v>
      </c>
      <c r="F291" s="1">
        <v>124398.43162958851</v>
      </c>
      <c r="G291" s="1">
        <v>3548.0</v>
      </c>
      <c r="H291" s="1">
        <v>36.77</v>
      </c>
      <c r="I291" s="1">
        <v>35.06</v>
      </c>
      <c r="J291" s="1">
        <v>1.71</v>
      </c>
      <c r="K291" s="1">
        <v>4.66</v>
      </c>
      <c r="L291" s="1">
        <f t="shared" si="1"/>
        <v>6077.923716</v>
      </c>
      <c r="M291" s="1" t="str">
        <f t="shared" si="2"/>
        <v>Regular</v>
      </c>
      <c r="N291" s="1">
        <f t="shared" si="3"/>
        <v>36.77462101</v>
      </c>
      <c r="O291" s="1">
        <f t="shared" si="4"/>
        <v>38.52680361</v>
      </c>
      <c r="P291" s="4">
        <f t="shared" si="5"/>
        <v>-0.04097131313</v>
      </c>
    </row>
    <row r="292" ht="15.75" customHeight="1">
      <c r="A292" s="3">
        <v>41928.0</v>
      </c>
      <c r="B292" s="1">
        <v>2014.0</v>
      </c>
      <c r="C292" s="1">
        <v>10.0</v>
      </c>
      <c r="D292" s="1" t="s">
        <v>26</v>
      </c>
      <c r="E292" s="1">
        <v>95229.77348008122</v>
      </c>
      <c r="F292" s="1">
        <v>91087.85133554287</v>
      </c>
      <c r="G292" s="1">
        <v>2591.0</v>
      </c>
      <c r="H292" s="1">
        <v>36.75</v>
      </c>
      <c r="I292" s="1">
        <v>35.16</v>
      </c>
      <c r="J292" s="1">
        <v>1.6</v>
      </c>
      <c r="K292" s="1">
        <v>4.35</v>
      </c>
      <c r="L292" s="1">
        <f t="shared" si="1"/>
        <v>4141.922145</v>
      </c>
      <c r="M292" s="1" t="str">
        <f t="shared" si="2"/>
        <v>Regular</v>
      </c>
      <c r="N292" s="1">
        <f t="shared" si="3"/>
        <v>36.75406155</v>
      </c>
      <c r="O292" s="1">
        <f t="shared" si="4"/>
        <v>38.53055402</v>
      </c>
      <c r="P292" s="4">
        <f t="shared" si="5"/>
        <v>-0.04106546798</v>
      </c>
    </row>
    <row r="293" ht="15.75" customHeight="1">
      <c r="A293" s="3">
        <v>41929.0</v>
      </c>
      <c r="B293" s="1">
        <v>2014.0</v>
      </c>
      <c r="C293" s="1">
        <v>10.0</v>
      </c>
      <c r="D293" s="1" t="s">
        <v>26</v>
      </c>
      <c r="E293" s="1">
        <v>121057.86128350305</v>
      </c>
      <c r="F293" s="1">
        <v>116949.79127421073</v>
      </c>
      <c r="G293" s="1">
        <v>3293.0</v>
      </c>
      <c r="H293" s="1">
        <v>36.76</v>
      </c>
      <c r="I293" s="1">
        <v>35.51</v>
      </c>
      <c r="J293" s="1">
        <v>1.25</v>
      </c>
      <c r="K293" s="1">
        <v>3.39</v>
      </c>
      <c r="L293" s="1">
        <f t="shared" si="1"/>
        <v>4108.070009</v>
      </c>
      <c r="M293" s="1" t="str">
        <f t="shared" si="2"/>
        <v>Regular</v>
      </c>
      <c r="N293" s="1">
        <f t="shared" si="3"/>
        <v>36.76218077</v>
      </c>
      <c r="O293" s="1">
        <f t="shared" si="4"/>
        <v>38.53322369</v>
      </c>
      <c r="P293" s="4">
        <f t="shared" si="5"/>
        <v>-0.0411318899</v>
      </c>
    </row>
    <row r="294" ht="15.75" customHeight="1">
      <c r="A294" s="3">
        <v>41930.0</v>
      </c>
      <c r="B294" s="1">
        <v>2014.0</v>
      </c>
      <c r="C294" s="1">
        <v>10.0</v>
      </c>
      <c r="D294" s="1" t="s">
        <v>26</v>
      </c>
      <c r="E294" s="1">
        <v>169498.91638532488</v>
      </c>
      <c r="F294" s="1">
        <v>164492.9466328486</v>
      </c>
      <c r="G294" s="1">
        <v>4611.0</v>
      </c>
      <c r="H294" s="1">
        <v>36.76</v>
      </c>
      <c r="I294" s="1">
        <v>35.67</v>
      </c>
      <c r="J294" s="1">
        <v>1.09</v>
      </c>
      <c r="K294" s="1">
        <v>2.95</v>
      </c>
      <c r="L294" s="1">
        <f t="shared" si="1"/>
        <v>5005.969752</v>
      </c>
      <c r="M294" s="1" t="str">
        <f t="shared" si="2"/>
        <v>Regular</v>
      </c>
      <c r="N294" s="1">
        <f t="shared" si="3"/>
        <v>36.75968692</v>
      </c>
      <c r="O294" s="1">
        <f t="shared" si="4"/>
        <v>38.53626131</v>
      </c>
      <c r="P294" s="4">
        <f t="shared" si="5"/>
        <v>-0.04120692258</v>
      </c>
    </row>
    <row r="295" ht="15.75" customHeight="1">
      <c r="A295" s="3">
        <v>41931.0</v>
      </c>
      <c r="B295" s="1">
        <v>2014.0</v>
      </c>
      <c r="C295" s="1">
        <v>10.0</v>
      </c>
      <c r="D295" s="1" t="s">
        <v>26</v>
      </c>
      <c r="E295" s="1">
        <v>90692.37587550195</v>
      </c>
      <c r="F295" s="1">
        <v>87911.21158320548</v>
      </c>
      <c r="G295" s="1">
        <v>2468.0</v>
      </c>
      <c r="H295" s="1">
        <v>36.75</v>
      </c>
      <c r="I295" s="1">
        <v>35.62</v>
      </c>
      <c r="J295" s="1">
        <v>1.13</v>
      </c>
      <c r="K295" s="1">
        <v>3.07</v>
      </c>
      <c r="L295" s="1">
        <f t="shared" si="1"/>
        <v>2781.164292</v>
      </c>
      <c r="M295" s="1" t="str">
        <f t="shared" si="2"/>
        <v>Regular</v>
      </c>
      <c r="N295" s="1">
        <f t="shared" si="3"/>
        <v>36.74731599</v>
      </c>
      <c r="O295" s="1">
        <f t="shared" si="4"/>
        <v>38.54030014</v>
      </c>
      <c r="P295" s="4">
        <f t="shared" si="5"/>
        <v>-0.04130606416</v>
      </c>
    </row>
    <row r="296" ht="15.75" customHeight="1">
      <c r="A296" s="3">
        <v>41932.0</v>
      </c>
      <c r="B296" s="1">
        <v>2014.0</v>
      </c>
      <c r="C296" s="1">
        <v>10.0</v>
      </c>
      <c r="D296" s="1" t="s">
        <v>26</v>
      </c>
      <c r="E296" s="1">
        <v>101723.91500409231</v>
      </c>
      <c r="F296" s="1">
        <v>98870.81187719772</v>
      </c>
      <c r="G296" s="1">
        <v>2773.0</v>
      </c>
      <c r="H296" s="1">
        <v>36.68</v>
      </c>
      <c r="I296" s="1">
        <v>35.65</v>
      </c>
      <c r="J296" s="1">
        <v>1.03</v>
      </c>
      <c r="K296" s="1">
        <v>2.8</v>
      </c>
      <c r="L296" s="1">
        <f t="shared" si="1"/>
        <v>2853.103127</v>
      </c>
      <c r="M296" s="1" t="str">
        <f t="shared" si="2"/>
        <v>Regular</v>
      </c>
      <c r="N296" s="1">
        <f t="shared" si="3"/>
        <v>36.68370537</v>
      </c>
      <c r="O296" s="1">
        <f t="shared" si="4"/>
        <v>38.54250709</v>
      </c>
      <c r="P296" s="4">
        <f t="shared" si="5"/>
        <v>-0.0413600747</v>
      </c>
    </row>
    <row r="297" ht="15.75" customHeight="1">
      <c r="A297" s="3">
        <v>41933.0</v>
      </c>
      <c r="B297" s="1">
        <v>2014.0</v>
      </c>
      <c r="C297" s="1">
        <v>10.0</v>
      </c>
      <c r="D297" s="1" t="s">
        <v>26</v>
      </c>
      <c r="E297" s="1">
        <v>103395.69126874243</v>
      </c>
      <c r="F297" s="1">
        <v>100424.15574332293</v>
      </c>
      <c r="G297" s="1">
        <v>2815.0</v>
      </c>
      <c r="H297" s="1">
        <v>36.73</v>
      </c>
      <c r="I297" s="1">
        <v>35.67</v>
      </c>
      <c r="J297" s="1">
        <v>1.06</v>
      </c>
      <c r="K297" s="1">
        <v>2.87</v>
      </c>
      <c r="L297" s="1">
        <f t="shared" si="1"/>
        <v>2971.535525</v>
      </c>
      <c r="M297" s="1" t="str">
        <f t="shared" si="2"/>
        <v>Regular</v>
      </c>
      <c r="N297" s="1">
        <f t="shared" si="3"/>
        <v>36.73026333</v>
      </c>
      <c r="O297" s="1">
        <f t="shared" si="4"/>
        <v>38.54496153</v>
      </c>
      <c r="P297" s="4">
        <f t="shared" si="5"/>
        <v>-0.04141854565</v>
      </c>
    </row>
    <row r="298" ht="15.75" customHeight="1">
      <c r="A298" s="3">
        <v>41934.0</v>
      </c>
      <c r="B298" s="1">
        <v>2014.0</v>
      </c>
      <c r="C298" s="1">
        <v>10.0</v>
      </c>
      <c r="D298" s="1" t="s">
        <v>26</v>
      </c>
      <c r="E298" s="1">
        <v>99075.59909602182</v>
      </c>
      <c r="F298" s="1">
        <v>96511.72215753814</v>
      </c>
      <c r="G298" s="1">
        <v>2701.0</v>
      </c>
      <c r="H298" s="1">
        <v>36.68</v>
      </c>
      <c r="I298" s="1">
        <v>35.73</v>
      </c>
      <c r="J298" s="1">
        <v>0.95</v>
      </c>
      <c r="K298" s="1">
        <v>2.59</v>
      </c>
      <c r="L298" s="1">
        <f t="shared" si="1"/>
        <v>2563.876938</v>
      </c>
      <c r="M298" s="1" t="str">
        <f t="shared" si="2"/>
        <v>Regular</v>
      </c>
      <c r="N298" s="1">
        <f t="shared" si="3"/>
        <v>36.68108075</v>
      </c>
      <c r="O298" s="1">
        <f t="shared" si="4"/>
        <v>38.54744029</v>
      </c>
      <c r="P298" s="4">
        <f t="shared" si="5"/>
        <v>-0.04147867158</v>
      </c>
    </row>
    <row r="299" ht="15.75" customHeight="1">
      <c r="A299" s="3">
        <v>41935.0</v>
      </c>
      <c r="B299" s="1">
        <v>2014.0</v>
      </c>
      <c r="C299" s="1">
        <v>10.0</v>
      </c>
      <c r="D299" s="1" t="s">
        <v>26</v>
      </c>
      <c r="E299" s="1">
        <v>97476.14471957207</v>
      </c>
      <c r="F299" s="1">
        <v>94763.84254876594</v>
      </c>
      <c r="G299" s="1">
        <v>2651.0</v>
      </c>
      <c r="H299" s="1">
        <v>36.77</v>
      </c>
      <c r="I299" s="1">
        <v>35.75</v>
      </c>
      <c r="J299" s="1">
        <v>1.02</v>
      </c>
      <c r="K299" s="1">
        <v>2.78</v>
      </c>
      <c r="L299" s="1">
        <f t="shared" si="1"/>
        <v>2712.302171</v>
      </c>
      <c r="M299" s="1" t="str">
        <f t="shared" si="2"/>
        <v>Regular</v>
      </c>
      <c r="N299" s="1">
        <f t="shared" si="3"/>
        <v>36.76957553</v>
      </c>
      <c r="O299" s="1">
        <f t="shared" si="4"/>
        <v>38.54977526</v>
      </c>
      <c r="P299" s="4">
        <f t="shared" si="5"/>
        <v>-0.04153403031</v>
      </c>
    </row>
    <row r="300" ht="15.75" customHeight="1">
      <c r="A300" s="3">
        <v>41936.0</v>
      </c>
      <c r="B300" s="1">
        <v>2014.0</v>
      </c>
      <c r="C300" s="1">
        <v>10.0</v>
      </c>
      <c r="D300" s="1" t="s">
        <v>26</v>
      </c>
      <c r="E300" s="1">
        <v>248974.6527827964</v>
      </c>
      <c r="F300" s="1">
        <v>241961.14324530264</v>
      </c>
      <c r="G300" s="1">
        <v>6781.0</v>
      </c>
      <c r="H300" s="1">
        <v>36.72</v>
      </c>
      <c r="I300" s="1">
        <v>35.68</v>
      </c>
      <c r="J300" s="1">
        <v>1.03</v>
      </c>
      <c r="K300" s="1">
        <v>2.82</v>
      </c>
      <c r="L300" s="1">
        <f t="shared" si="1"/>
        <v>7013.509537</v>
      </c>
      <c r="M300" s="1" t="str">
        <f t="shared" si="2"/>
        <v>Regular</v>
      </c>
      <c r="N300" s="1">
        <f t="shared" si="3"/>
        <v>36.71650977</v>
      </c>
      <c r="O300" s="1">
        <f t="shared" si="4"/>
        <v>38.55205888</v>
      </c>
      <c r="P300" s="4">
        <f t="shared" si="5"/>
        <v>-0.0415901601</v>
      </c>
    </row>
    <row r="301" ht="15.75" customHeight="1">
      <c r="A301" s="3">
        <v>41937.0</v>
      </c>
      <c r="B301" s="1">
        <v>2014.0</v>
      </c>
      <c r="C301" s="1">
        <v>10.0</v>
      </c>
      <c r="D301" s="1" t="s">
        <v>26</v>
      </c>
      <c r="E301" s="1">
        <v>302721.6833004003</v>
      </c>
      <c r="F301" s="1">
        <v>294129.6711231186</v>
      </c>
      <c r="G301" s="1">
        <v>8249.0</v>
      </c>
      <c r="H301" s="1">
        <v>36.7</v>
      </c>
      <c r="I301" s="1">
        <v>35.66</v>
      </c>
      <c r="J301" s="1">
        <v>1.04</v>
      </c>
      <c r="K301" s="1">
        <v>2.84</v>
      </c>
      <c r="L301" s="1">
        <f t="shared" si="1"/>
        <v>8592.012177</v>
      </c>
      <c r="M301" s="1" t="str">
        <f t="shared" si="2"/>
        <v>Regular</v>
      </c>
      <c r="N301" s="1">
        <f t="shared" si="3"/>
        <v>36.69798561</v>
      </c>
      <c r="O301" s="1">
        <f t="shared" si="4"/>
        <v>38.55805124</v>
      </c>
      <c r="P301" s="4">
        <f t="shared" si="5"/>
        <v>-0.04173465377</v>
      </c>
    </row>
    <row r="302" ht="15.75" customHeight="1">
      <c r="A302" s="3">
        <v>41938.0</v>
      </c>
      <c r="B302" s="1">
        <v>2014.0</v>
      </c>
      <c r="C302" s="1">
        <v>10.0</v>
      </c>
      <c r="D302" s="1" t="s">
        <v>26</v>
      </c>
      <c r="E302" s="1">
        <v>128520.72780395366</v>
      </c>
      <c r="F302" s="1">
        <v>124739.23394868796</v>
      </c>
      <c r="G302" s="1">
        <v>3502.0</v>
      </c>
      <c r="H302" s="1">
        <v>36.7</v>
      </c>
      <c r="I302" s="1">
        <v>35.62</v>
      </c>
      <c r="J302" s="1">
        <v>1.08</v>
      </c>
      <c r="K302" s="1">
        <v>2.94</v>
      </c>
      <c r="L302" s="1">
        <f t="shared" si="1"/>
        <v>3781.493855</v>
      </c>
      <c r="M302" s="1" t="str">
        <f t="shared" si="2"/>
        <v>Regular</v>
      </c>
      <c r="N302" s="1">
        <f t="shared" si="3"/>
        <v>36.69923695</v>
      </c>
      <c r="O302" s="1">
        <f t="shared" si="4"/>
        <v>38.56544044</v>
      </c>
      <c r="P302" s="4">
        <f t="shared" si="5"/>
        <v>-0.04191168589</v>
      </c>
    </row>
    <row r="303" ht="15.75" customHeight="1">
      <c r="A303" s="3">
        <v>41939.0</v>
      </c>
      <c r="B303" s="1">
        <v>2014.0</v>
      </c>
      <c r="C303" s="1">
        <v>10.0</v>
      </c>
      <c r="D303" s="1" t="s">
        <v>26</v>
      </c>
      <c r="E303" s="1">
        <v>145185.26833608488</v>
      </c>
      <c r="F303" s="1">
        <v>140651.93717842025</v>
      </c>
      <c r="G303" s="1">
        <v>3949.0</v>
      </c>
      <c r="H303" s="1">
        <v>36.77</v>
      </c>
      <c r="I303" s="1">
        <v>35.62</v>
      </c>
      <c r="J303" s="1">
        <v>1.15</v>
      </c>
      <c r="K303" s="1">
        <v>3.12</v>
      </c>
      <c r="L303" s="1">
        <f t="shared" si="1"/>
        <v>4533.331158</v>
      </c>
      <c r="M303" s="1" t="str">
        <f t="shared" si="2"/>
        <v>Regular</v>
      </c>
      <c r="N303" s="1">
        <f t="shared" si="3"/>
        <v>36.76507175</v>
      </c>
      <c r="O303" s="1">
        <f t="shared" si="4"/>
        <v>38.56862884</v>
      </c>
      <c r="P303" s="4">
        <f t="shared" si="5"/>
        <v>-0.04198823234</v>
      </c>
    </row>
    <row r="304" ht="15.75" customHeight="1">
      <c r="A304" s="3">
        <v>41940.0</v>
      </c>
      <c r="B304" s="1">
        <v>2014.0</v>
      </c>
      <c r="C304" s="1">
        <v>10.0</v>
      </c>
      <c r="D304" s="1" t="s">
        <v>26</v>
      </c>
      <c r="E304" s="1">
        <v>89527.5566318617</v>
      </c>
      <c r="F304" s="1">
        <v>87067.05131891428</v>
      </c>
      <c r="G304" s="1">
        <v>2435.0</v>
      </c>
      <c r="H304" s="1">
        <v>36.77</v>
      </c>
      <c r="I304" s="1">
        <v>35.76</v>
      </c>
      <c r="J304" s="1">
        <v>1.01</v>
      </c>
      <c r="K304" s="1">
        <v>2.75</v>
      </c>
      <c r="L304" s="1">
        <f t="shared" si="1"/>
        <v>2460.505313</v>
      </c>
      <c r="M304" s="1" t="str">
        <f t="shared" si="2"/>
        <v>Regular</v>
      </c>
      <c r="N304" s="1">
        <f t="shared" si="3"/>
        <v>36.76696371</v>
      </c>
      <c r="O304" s="1">
        <f t="shared" si="4"/>
        <v>38.57223533</v>
      </c>
      <c r="P304" s="4">
        <f t="shared" si="5"/>
        <v>-0.04207708807</v>
      </c>
    </row>
    <row r="305" ht="15.75" customHeight="1">
      <c r="A305" s="3">
        <v>41941.0</v>
      </c>
      <c r="B305" s="1">
        <v>2014.0</v>
      </c>
      <c r="C305" s="1">
        <v>10.0</v>
      </c>
      <c r="D305" s="1" t="s">
        <v>26</v>
      </c>
      <c r="E305" s="1">
        <v>81991.88284141109</v>
      </c>
      <c r="F305" s="1">
        <v>80112.54801498825</v>
      </c>
      <c r="G305" s="1">
        <v>2232.0</v>
      </c>
      <c r="H305" s="1">
        <v>36.73</v>
      </c>
      <c r="I305" s="1">
        <v>35.89</v>
      </c>
      <c r="J305" s="1">
        <v>0.84</v>
      </c>
      <c r="K305" s="1">
        <v>2.29</v>
      </c>
      <c r="L305" s="1">
        <f t="shared" si="1"/>
        <v>1879.334826</v>
      </c>
      <c r="M305" s="1" t="str">
        <f t="shared" si="2"/>
        <v>Regular</v>
      </c>
      <c r="N305" s="1">
        <f t="shared" si="3"/>
        <v>36.73471453</v>
      </c>
      <c r="O305" s="1">
        <f t="shared" si="4"/>
        <v>38.57435844</v>
      </c>
      <c r="P305" s="4">
        <f t="shared" si="5"/>
        <v>-0.04212918593</v>
      </c>
    </row>
    <row r="306" ht="15.75" customHeight="1">
      <c r="A306" s="3">
        <v>41942.0</v>
      </c>
      <c r="B306" s="1">
        <v>2014.0</v>
      </c>
      <c r="C306" s="1">
        <v>10.0</v>
      </c>
      <c r="D306" s="1" t="s">
        <v>26</v>
      </c>
      <c r="E306" s="1">
        <v>69704.49111259049</v>
      </c>
      <c r="F306" s="1">
        <v>68293.09638979612</v>
      </c>
      <c r="G306" s="1">
        <v>1898.0</v>
      </c>
      <c r="H306" s="1">
        <v>36.73</v>
      </c>
      <c r="I306" s="1">
        <v>35.98</v>
      </c>
      <c r="J306" s="1">
        <v>0.74</v>
      </c>
      <c r="K306" s="1">
        <v>2.02</v>
      </c>
      <c r="L306" s="1">
        <f t="shared" si="1"/>
        <v>1411.394723</v>
      </c>
      <c r="M306" s="1" t="str">
        <f t="shared" si="2"/>
        <v>Regular</v>
      </c>
      <c r="N306" s="1">
        <f t="shared" si="3"/>
        <v>36.72523241</v>
      </c>
      <c r="O306" s="1">
        <f t="shared" si="4"/>
        <v>38.57621314</v>
      </c>
      <c r="P306" s="4">
        <f t="shared" si="5"/>
        <v>-0.04217383568</v>
      </c>
    </row>
    <row r="307" ht="15.75" customHeight="1">
      <c r="A307" s="3">
        <v>41943.0</v>
      </c>
      <c r="B307" s="1">
        <v>2014.0</v>
      </c>
      <c r="C307" s="1">
        <v>10.0</v>
      </c>
      <c r="D307" s="1" t="s">
        <v>26</v>
      </c>
      <c r="E307" s="1">
        <v>166652.39481922364</v>
      </c>
      <c r="F307" s="1">
        <v>163319.7164706766</v>
      </c>
      <c r="G307" s="1">
        <v>4537.0</v>
      </c>
      <c r="H307" s="1">
        <v>36.73</v>
      </c>
      <c r="I307" s="1">
        <v>36.0</v>
      </c>
      <c r="J307" s="1">
        <v>0.73</v>
      </c>
      <c r="K307" s="1">
        <v>2.0</v>
      </c>
      <c r="L307" s="1">
        <f t="shared" si="1"/>
        <v>3332.678349</v>
      </c>
      <c r="M307" s="1" t="str">
        <f t="shared" si="2"/>
        <v>Regular</v>
      </c>
      <c r="N307" s="1">
        <f t="shared" si="3"/>
        <v>36.7318481</v>
      </c>
      <c r="O307" s="1">
        <f t="shared" si="4"/>
        <v>38.57774</v>
      </c>
      <c r="P307" s="4">
        <f t="shared" si="5"/>
        <v>-0.04221028188</v>
      </c>
    </row>
    <row r="308" ht="15.75" customHeight="1">
      <c r="A308" s="3">
        <v>41944.0</v>
      </c>
      <c r="B308" s="1">
        <v>2014.0</v>
      </c>
      <c r="C308" s="1">
        <v>11.0</v>
      </c>
      <c r="D308" s="1" t="s">
        <v>27</v>
      </c>
      <c r="E308" s="1">
        <v>247453.10218524758</v>
      </c>
      <c r="F308" s="1">
        <v>242638.8011974684</v>
      </c>
      <c r="G308" s="1">
        <v>6730.0</v>
      </c>
      <c r="H308" s="1">
        <v>36.77</v>
      </c>
      <c r="I308" s="1">
        <v>36.05</v>
      </c>
      <c r="J308" s="1">
        <v>0.72</v>
      </c>
      <c r="K308" s="1">
        <v>1.95</v>
      </c>
      <c r="L308" s="1">
        <f t="shared" si="1"/>
        <v>4814.300988</v>
      </c>
      <c r="M308" s="1" t="str">
        <f t="shared" si="2"/>
        <v>Regular</v>
      </c>
      <c r="N308" s="1">
        <f t="shared" si="3"/>
        <v>36.76866303</v>
      </c>
      <c r="O308" s="1">
        <f t="shared" si="4"/>
        <v>38.58137505</v>
      </c>
      <c r="P308" s="4">
        <f t="shared" si="5"/>
        <v>-0.04229724159</v>
      </c>
    </row>
    <row r="309" ht="15.75" customHeight="1">
      <c r="A309" s="3">
        <v>41945.0</v>
      </c>
      <c r="B309" s="1">
        <v>2014.0</v>
      </c>
      <c r="C309" s="1">
        <v>11.0</v>
      </c>
      <c r="D309" s="1" t="s">
        <v>27</v>
      </c>
      <c r="E309" s="1">
        <v>148476.18120917486</v>
      </c>
      <c r="F309" s="1">
        <v>145646.33680169418</v>
      </c>
      <c r="G309" s="1">
        <v>4038.0</v>
      </c>
      <c r="H309" s="1">
        <v>36.77</v>
      </c>
      <c r="I309" s="1">
        <v>36.07</v>
      </c>
      <c r="J309" s="1">
        <v>0.7</v>
      </c>
      <c r="K309" s="1">
        <v>1.91</v>
      </c>
      <c r="L309" s="1">
        <f t="shared" si="1"/>
        <v>2829.844407</v>
      </c>
      <c r="M309" s="1" t="str">
        <f t="shared" si="2"/>
        <v>Regular</v>
      </c>
      <c r="N309" s="1">
        <f t="shared" si="3"/>
        <v>36.76973284</v>
      </c>
      <c r="O309" s="1">
        <f t="shared" si="4"/>
        <v>38.58666872</v>
      </c>
      <c r="P309" s="4">
        <f t="shared" si="5"/>
        <v>-0.04242568467</v>
      </c>
    </row>
    <row r="310" ht="15.75" customHeight="1">
      <c r="A310" s="3">
        <v>41946.0</v>
      </c>
      <c r="B310" s="1">
        <v>2014.0</v>
      </c>
      <c r="C310" s="1">
        <v>11.0</v>
      </c>
      <c r="D310" s="1" t="s">
        <v>27</v>
      </c>
      <c r="E310" s="1">
        <v>205368.92263440124</v>
      </c>
      <c r="F310" s="1">
        <v>201281.239025563</v>
      </c>
      <c r="G310" s="1">
        <v>5581.0</v>
      </c>
      <c r="H310" s="1">
        <v>36.8</v>
      </c>
      <c r="I310" s="1">
        <v>36.07</v>
      </c>
      <c r="J310" s="1">
        <v>0.73</v>
      </c>
      <c r="K310" s="1">
        <v>1.99</v>
      </c>
      <c r="L310" s="1">
        <f t="shared" si="1"/>
        <v>4087.683609</v>
      </c>
      <c r="M310" s="1" t="str">
        <f t="shared" si="2"/>
        <v>Regular</v>
      </c>
      <c r="N310" s="1">
        <f t="shared" si="3"/>
        <v>36.79787182</v>
      </c>
      <c r="O310" s="1">
        <f t="shared" si="4"/>
        <v>38.58983594</v>
      </c>
      <c r="P310" s="4">
        <f t="shared" si="5"/>
        <v>-0.04250251453</v>
      </c>
    </row>
    <row r="311" ht="15.75" customHeight="1">
      <c r="A311" s="3">
        <v>41947.0</v>
      </c>
      <c r="B311" s="1">
        <v>2014.0</v>
      </c>
      <c r="C311" s="1">
        <v>11.0</v>
      </c>
      <c r="D311" s="1" t="s">
        <v>27</v>
      </c>
      <c r="E311" s="1">
        <v>99244.68184604915</v>
      </c>
      <c r="F311" s="1">
        <v>90949.44225220109</v>
      </c>
      <c r="G311" s="1">
        <v>2519.0</v>
      </c>
      <c r="H311" s="1">
        <v>39.4</v>
      </c>
      <c r="I311" s="1">
        <v>36.11</v>
      </c>
      <c r="J311" s="1">
        <v>3.29</v>
      </c>
      <c r="K311" s="1">
        <v>8.36</v>
      </c>
      <c r="L311" s="1">
        <f t="shared" si="1"/>
        <v>8295.239594</v>
      </c>
      <c r="M311" s="1" t="str">
        <f t="shared" si="2"/>
        <v>Regular</v>
      </c>
      <c r="N311" s="1">
        <f t="shared" si="3"/>
        <v>39.39844456</v>
      </c>
      <c r="O311" s="1">
        <f t="shared" si="4"/>
        <v>38.59423262</v>
      </c>
      <c r="P311" s="4">
        <f t="shared" si="5"/>
        <v>-0.04261056364</v>
      </c>
    </row>
    <row r="312" ht="15.75" customHeight="1">
      <c r="A312" s="3">
        <v>41948.0</v>
      </c>
      <c r="B312" s="1">
        <v>2014.0</v>
      </c>
      <c r="C312" s="1">
        <v>11.0</v>
      </c>
      <c r="D312" s="1" t="s">
        <v>27</v>
      </c>
      <c r="E312" s="1">
        <v>72756.86310007049</v>
      </c>
      <c r="F312" s="1">
        <v>67872.77432688524</v>
      </c>
      <c r="G312" s="1">
        <v>1847.0</v>
      </c>
      <c r="H312" s="1">
        <v>39.39</v>
      </c>
      <c r="I312" s="1">
        <v>36.75</v>
      </c>
      <c r="J312" s="1">
        <v>2.64</v>
      </c>
      <c r="K312" s="1">
        <v>6.71</v>
      </c>
      <c r="L312" s="1">
        <f t="shared" si="1"/>
        <v>4884.088773</v>
      </c>
      <c r="M312" s="1" t="str">
        <f t="shared" si="2"/>
        <v>Regular</v>
      </c>
      <c r="N312" s="1">
        <f t="shared" si="3"/>
        <v>39.39191289</v>
      </c>
      <c r="O312" s="1">
        <f t="shared" si="4"/>
        <v>38.59619068</v>
      </c>
      <c r="P312" s="4">
        <f t="shared" si="5"/>
        <v>-0.04271623718</v>
      </c>
    </row>
    <row r="313" ht="15.75" customHeight="1">
      <c r="A313" s="3">
        <v>41949.0</v>
      </c>
      <c r="B313" s="1">
        <v>2014.0</v>
      </c>
      <c r="C313" s="1">
        <v>11.0</v>
      </c>
      <c r="D313" s="1" t="s">
        <v>27</v>
      </c>
      <c r="E313" s="1">
        <v>86867.45808059514</v>
      </c>
      <c r="F313" s="1">
        <v>84486.0860860636</v>
      </c>
      <c r="G313" s="1">
        <v>2309.0</v>
      </c>
      <c r="H313" s="1">
        <v>37.62</v>
      </c>
      <c r="I313" s="1">
        <v>36.59</v>
      </c>
      <c r="J313" s="1">
        <v>1.03</v>
      </c>
      <c r="K313" s="1">
        <v>2.74</v>
      </c>
      <c r="L313" s="1">
        <f t="shared" si="1"/>
        <v>2381.371995</v>
      </c>
      <c r="M313" s="1" t="str">
        <f t="shared" si="2"/>
        <v>Regular</v>
      </c>
      <c r="N313" s="1">
        <f t="shared" si="3"/>
        <v>37.62124646</v>
      </c>
      <c r="O313" s="1">
        <f t="shared" si="4"/>
        <v>38.59725767</v>
      </c>
      <c r="P313" s="4">
        <f t="shared" si="5"/>
        <v>-0.04278371187</v>
      </c>
    </row>
    <row r="314" ht="15.75" customHeight="1">
      <c r="A314" s="3">
        <v>41950.0</v>
      </c>
      <c r="B314" s="1">
        <v>2014.0</v>
      </c>
      <c r="C314" s="1">
        <v>11.0</v>
      </c>
      <c r="D314" s="1" t="s">
        <v>27</v>
      </c>
      <c r="E314" s="1">
        <v>140167.80386220515</v>
      </c>
      <c r="F314" s="1">
        <v>136539.20329644668</v>
      </c>
      <c r="G314" s="1">
        <v>3722.0</v>
      </c>
      <c r="H314" s="1">
        <v>37.66</v>
      </c>
      <c r="I314" s="1">
        <v>36.68</v>
      </c>
      <c r="J314" s="1">
        <v>0.97</v>
      </c>
      <c r="K314" s="1">
        <v>2.59</v>
      </c>
      <c r="L314" s="1">
        <f t="shared" si="1"/>
        <v>3628.600566</v>
      </c>
      <c r="M314" s="1" t="str">
        <f t="shared" si="2"/>
        <v>Regular</v>
      </c>
      <c r="N314" s="1">
        <f t="shared" si="3"/>
        <v>37.65927025</v>
      </c>
      <c r="O314" s="1">
        <f t="shared" si="4"/>
        <v>38.59870714</v>
      </c>
      <c r="P314" s="4">
        <f t="shared" si="5"/>
        <v>-0.04283523282</v>
      </c>
    </row>
    <row r="315" ht="15.75" customHeight="1">
      <c r="A315" s="3">
        <v>41951.0</v>
      </c>
      <c r="B315" s="1">
        <v>2014.0</v>
      </c>
      <c r="C315" s="1">
        <v>11.0</v>
      </c>
      <c r="D315" s="1" t="s">
        <v>27</v>
      </c>
      <c r="E315" s="1">
        <v>160727.30278297895</v>
      </c>
      <c r="F315" s="1">
        <v>156700.8249957323</v>
      </c>
      <c r="G315" s="1">
        <v>4268.0</v>
      </c>
      <c r="H315" s="1">
        <v>37.66</v>
      </c>
      <c r="I315" s="1">
        <v>36.72</v>
      </c>
      <c r="J315" s="1">
        <v>0.94</v>
      </c>
      <c r="K315" s="1">
        <v>2.51</v>
      </c>
      <c r="L315" s="1">
        <f t="shared" si="1"/>
        <v>4026.477787</v>
      </c>
      <c r="M315" s="1" t="str">
        <f t="shared" si="2"/>
        <v>Regular</v>
      </c>
      <c r="N315" s="1">
        <f t="shared" si="3"/>
        <v>37.65869325</v>
      </c>
      <c r="O315" s="1">
        <f t="shared" si="4"/>
        <v>38.60093796</v>
      </c>
      <c r="P315" s="4">
        <f t="shared" si="5"/>
        <v>-0.04291671606</v>
      </c>
    </row>
    <row r="316" ht="15.75" customHeight="1">
      <c r="A316" s="3">
        <v>41952.0</v>
      </c>
      <c r="B316" s="1">
        <v>2014.0</v>
      </c>
      <c r="C316" s="1">
        <v>11.0</v>
      </c>
      <c r="D316" s="1" t="s">
        <v>27</v>
      </c>
      <c r="E316" s="1">
        <v>74115.62877644549</v>
      </c>
      <c r="F316" s="1">
        <v>71994.34639365315</v>
      </c>
      <c r="G316" s="1">
        <v>1968.0</v>
      </c>
      <c r="H316" s="1">
        <v>37.66</v>
      </c>
      <c r="I316" s="1">
        <v>36.58</v>
      </c>
      <c r="J316" s="1">
        <v>1.08</v>
      </c>
      <c r="K316" s="1">
        <v>2.86</v>
      </c>
      <c r="L316" s="1">
        <f t="shared" si="1"/>
        <v>2121.282383</v>
      </c>
      <c r="M316" s="1" t="str">
        <f t="shared" si="2"/>
        <v>Regular</v>
      </c>
      <c r="N316" s="1">
        <f t="shared" si="3"/>
        <v>37.66038048</v>
      </c>
      <c r="O316" s="1">
        <f t="shared" si="4"/>
        <v>38.60346106</v>
      </c>
      <c r="P316" s="4">
        <f t="shared" si="5"/>
        <v>-0.04300925114</v>
      </c>
    </row>
    <row r="317" ht="15.75" customHeight="1">
      <c r="A317" s="3">
        <v>41953.0</v>
      </c>
      <c r="B317" s="1">
        <v>2014.0</v>
      </c>
      <c r="C317" s="1">
        <v>11.0</v>
      </c>
      <c r="D317" s="1" t="s">
        <v>27</v>
      </c>
      <c r="E317" s="1">
        <v>76103.2915165355</v>
      </c>
      <c r="F317" s="1">
        <v>73967.60569443136</v>
      </c>
      <c r="G317" s="1">
        <v>2016.0</v>
      </c>
      <c r="H317" s="1">
        <v>37.75</v>
      </c>
      <c r="I317" s="1">
        <v>36.69</v>
      </c>
      <c r="J317" s="1">
        <v>1.06</v>
      </c>
      <c r="K317" s="1">
        <v>2.81</v>
      </c>
      <c r="L317" s="1">
        <f t="shared" si="1"/>
        <v>2135.685822</v>
      </c>
      <c r="M317" s="1" t="str">
        <f t="shared" si="2"/>
        <v>Regular</v>
      </c>
      <c r="N317" s="1">
        <f t="shared" si="3"/>
        <v>37.74964857</v>
      </c>
      <c r="O317" s="1">
        <f t="shared" si="4"/>
        <v>38.60470873</v>
      </c>
      <c r="P317" s="4">
        <f t="shared" si="5"/>
        <v>-0.04305424888</v>
      </c>
    </row>
    <row r="318" ht="15.75" customHeight="1">
      <c r="A318" s="3">
        <v>41954.0</v>
      </c>
      <c r="B318" s="1">
        <v>2014.0</v>
      </c>
      <c r="C318" s="1">
        <v>11.0</v>
      </c>
      <c r="D318" s="1" t="s">
        <v>27</v>
      </c>
      <c r="E318" s="1">
        <v>56303.366574580374</v>
      </c>
      <c r="F318" s="1">
        <v>54996.86660759073</v>
      </c>
      <c r="G318" s="1">
        <v>1497.0</v>
      </c>
      <c r="H318" s="1">
        <v>37.61</v>
      </c>
      <c r="I318" s="1">
        <v>36.74</v>
      </c>
      <c r="J318" s="1">
        <v>0.87</v>
      </c>
      <c r="K318" s="1">
        <v>2.32</v>
      </c>
      <c r="L318" s="1">
        <f t="shared" si="1"/>
        <v>1306.499967</v>
      </c>
      <c r="M318" s="1" t="str">
        <f t="shared" si="2"/>
        <v>Regular</v>
      </c>
      <c r="N318" s="1">
        <f t="shared" si="3"/>
        <v>37.61079932</v>
      </c>
      <c r="O318" s="1">
        <f t="shared" si="4"/>
        <v>38.60592023</v>
      </c>
      <c r="P318" s="4">
        <f t="shared" si="5"/>
        <v>-0.04310015192</v>
      </c>
    </row>
    <row r="319" ht="15.75" customHeight="1">
      <c r="A319" s="3">
        <v>41955.0</v>
      </c>
      <c r="B319" s="1">
        <v>2014.0</v>
      </c>
      <c r="C319" s="1">
        <v>11.0</v>
      </c>
      <c r="D319" s="1" t="s">
        <v>27</v>
      </c>
      <c r="E319" s="1">
        <v>49436.81586452037</v>
      </c>
      <c r="F319" s="1">
        <v>48289.892276094746</v>
      </c>
      <c r="G319" s="1">
        <v>1314.0</v>
      </c>
      <c r="H319" s="1">
        <v>37.62</v>
      </c>
      <c r="I319" s="1">
        <v>36.75</v>
      </c>
      <c r="J319" s="1">
        <v>0.87</v>
      </c>
      <c r="K319" s="1">
        <v>2.32</v>
      </c>
      <c r="L319" s="1">
        <f t="shared" si="1"/>
        <v>1146.923588</v>
      </c>
      <c r="M319" s="1" t="str">
        <f t="shared" si="2"/>
        <v>Regular</v>
      </c>
      <c r="N319" s="1">
        <f t="shared" si="3"/>
        <v>37.62314754</v>
      </c>
      <c r="O319" s="1">
        <f t="shared" si="4"/>
        <v>38.60679836</v>
      </c>
      <c r="P319" s="4">
        <f t="shared" si="5"/>
        <v>-0.04313182935</v>
      </c>
    </row>
    <row r="320" ht="15.75" customHeight="1">
      <c r="A320" s="3">
        <v>41956.0</v>
      </c>
      <c r="B320" s="1">
        <v>2014.0</v>
      </c>
      <c r="C320" s="1">
        <v>11.0</v>
      </c>
      <c r="D320" s="1" t="s">
        <v>27</v>
      </c>
      <c r="E320" s="1">
        <v>55033.12240398037</v>
      </c>
      <c r="F320" s="1">
        <v>53997.21887310759</v>
      </c>
      <c r="G320" s="1">
        <v>1466.0</v>
      </c>
      <c r="H320" s="1">
        <v>37.54</v>
      </c>
      <c r="I320" s="1">
        <v>36.83</v>
      </c>
      <c r="J320" s="1">
        <v>0.71</v>
      </c>
      <c r="K320" s="1">
        <v>1.88</v>
      </c>
      <c r="L320" s="1">
        <f t="shared" si="1"/>
        <v>1035.903531</v>
      </c>
      <c r="M320" s="1" t="str">
        <f t="shared" si="2"/>
        <v>Regular</v>
      </c>
      <c r="N320" s="1">
        <f t="shared" si="3"/>
        <v>37.53964693</v>
      </c>
      <c r="O320" s="1">
        <f t="shared" si="4"/>
        <v>38.60756478</v>
      </c>
      <c r="P320" s="4">
        <f t="shared" si="5"/>
        <v>-0.04315966645</v>
      </c>
    </row>
    <row r="321" ht="15.75" customHeight="1">
      <c r="A321" s="3">
        <v>41957.0</v>
      </c>
      <c r="B321" s="1">
        <v>2014.0</v>
      </c>
      <c r="C321" s="1">
        <v>11.0</v>
      </c>
      <c r="D321" s="1" t="s">
        <v>27</v>
      </c>
      <c r="E321" s="1">
        <v>149808.16594472638</v>
      </c>
      <c r="F321" s="1">
        <v>146994.89550113154</v>
      </c>
      <c r="G321" s="1">
        <v>3984.0</v>
      </c>
      <c r="H321" s="1">
        <v>37.6</v>
      </c>
      <c r="I321" s="1">
        <v>36.9</v>
      </c>
      <c r="J321" s="1">
        <v>0.71</v>
      </c>
      <c r="K321" s="1">
        <v>1.88</v>
      </c>
      <c r="L321" s="1">
        <f t="shared" si="1"/>
        <v>2813.270444</v>
      </c>
      <c r="M321" s="1" t="str">
        <f t="shared" si="2"/>
        <v>Regular</v>
      </c>
      <c r="N321" s="1">
        <f t="shared" si="3"/>
        <v>37.60245129</v>
      </c>
      <c r="O321" s="1">
        <f t="shared" si="4"/>
        <v>38.60838248</v>
      </c>
      <c r="P321" s="4">
        <f t="shared" si="5"/>
        <v>-0.04318863668</v>
      </c>
    </row>
    <row r="322" ht="15.75" customHeight="1">
      <c r="A322" s="3">
        <v>41958.0</v>
      </c>
      <c r="B322" s="1">
        <v>2014.0</v>
      </c>
      <c r="C322" s="1">
        <v>11.0</v>
      </c>
      <c r="D322" s="1" t="s">
        <v>27</v>
      </c>
      <c r="E322" s="1">
        <v>180685.5107299103</v>
      </c>
      <c r="F322" s="1">
        <v>176898.27782037074</v>
      </c>
      <c r="G322" s="1">
        <v>4802.0</v>
      </c>
      <c r="H322" s="1">
        <v>37.63</v>
      </c>
      <c r="I322" s="1">
        <v>36.84</v>
      </c>
      <c r="J322" s="1">
        <v>0.79</v>
      </c>
      <c r="K322" s="1">
        <v>2.1</v>
      </c>
      <c r="L322" s="1">
        <f t="shared" si="1"/>
        <v>3787.23291</v>
      </c>
      <c r="M322" s="1" t="str">
        <f t="shared" si="2"/>
        <v>Regular</v>
      </c>
      <c r="N322" s="1">
        <f t="shared" si="3"/>
        <v>37.62713676</v>
      </c>
      <c r="O322" s="1">
        <f t="shared" si="4"/>
        <v>38.61052912</v>
      </c>
      <c r="P322" s="4">
        <f t="shared" si="5"/>
        <v>-0.04326757905</v>
      </c>
    </row>
    <row r="323" ht="15.75" customHeight="1">
      <c r="A323" s="3">
        <v>41959.0</v>
      </c>
      <c r="B323" s="1">
        <v>2014.0</v>
      </c>
      <c r="C323" s="1">
        <v>11.0</v>
      </c>
      <c r="D323" s="1" t="s">
        <v>27</v>
      </c>
      <c r="E323" s="1">
        <v>75871.43676522048</v>
      </c>
      <c r="F323" s="1">
        <v>73905.81015882002</v>
      </c>
      <c r="G323" s="1">
        <v>2017.0</v>
      </c>
      <c r="H323" s="1">
        <v>37.62</v>
      </c>
      <c r="I323" s="1">
        <v>36.64</v>
      </c>
      <c r="J323" s="1">
        <v>0.97</v>
      </c>
      <c r="K323" s="1">
        <v>2.59</v>
      </c>
      <c r="L323" s="1">
        <f t="shared" si="1"/>
        <v>1965.626606</v>
      </c>
      <c r="M323" s="1" t="str">
        <f t="shared" si="2"/>
        <v>Regular</v>
      </c>
      <c r="N323" s="1">
        <f t="shared" si="3"/>
        <v>37.61598253</v>
      </c>
      <c r="O323" s="1">
        <f t="shared" si="4"/>
        <v>38.61321125</v>
      </c>
      <c r="P323" s="4">
        <f t="shared" si="5"/>
        <v>-0.043366417</v>
      </c>
    </row>
    <row r="324" ht="15.75" customHeight="1">
      <c r="A324" s="3">
        <v>41960.0</v>
      </c>
      <c r="B324" s="1">
        <v>2014.0</v>
      </c>
      <c r="C324" s="1">
        <v>11.0</v>
      </c>
      <c r="D324" s="1" t="s">
        <v>27</v>
      </c>
      <c r="E324" s="1">
        <v>86313.33408317012</v>
      </c>
      <c r="F324" s="1">
        <v>84418.78910931063</v>
      </c>
      <c r="G324" s="1">
        <v>2297.0</v>
      </c>
      <c r="H324" s="1">
        <v>37.58</v>
      </c>
      <c r="I324" s="1">
        <v>36.75</v>
      </c>
      <c r="J324" s="1">
        <v>0.82</v>
      </c>
      <c r="K324" s="1">
        <v>2.19</v>
      </c>
      <c r="L324" s="1">
        <f t="shared" si="1"/>
        <v>1894.544974</v>
      </c>
      <c r="M324" s="1" t="str">
        <f t="shared" si="2"/>
        <v>Regular</v>
      </c>
      <c r="N324" s="1">
        <f t="shared" si="3"/>
        <v>37.57654945</v>
      </c>
      <c r="O324" s="1">
        <f t="shared" si="4"/>
        <v>38.61446558</v>
      </c>
      <c r="P324" s="4">
        <f t="shared" si="5"/>
        <v>-0.04341120938</v>
      </c>
    </row>
    <row r="325" ht="15.75" customHeight="1">
      <c r="A325" s="3">
        <v>41961.0</v>
      </c>
      <c r="B325" s="1">
        <v>2014.0</v>
      </c>
      <c r="C325" s="1">
        <v>11.0</v>
      </c>
      <c r="D325" s="1" t="s">
        <v>27</v>
      </c>
      <c r="E325" s="1">
        <v>62631.79875207037</v>
      </c>
      <c r="F325" s="1">
        <v>61158.36109019277</v>
      </c>
      <c r="G325" s="1">
        <v>1665.0</v>
      </c>
      <c r="H325" s="1">
        <v>37.62</v>
      </c>
      <c r="I325" s="1">
        <v>36.73</v>
      </c>
      <c r="J325" s="1">
        <v>0.88</v>
      </c>
      <c r="K325" s="1">
        <v>2.35</v>
      </c>
      <c r="L325" s="1">
        <f t="shared" si="1"/>
        <v>1473.437662</v>
      </c>
      <c r="M325" s="1" t="str">
        <f t="shared" si="2"/>
        <v>Regular</v>
      </c>
      <c r="N325" s="1">
        <f t="shared" si="3"/>
        <v>37.61669595</v>
      </c>
      <c r="O325" s="1">
        <f t="shared" si="4"/>
        <v>38.61581601</v>
      </c>
      <c r="P325" s="4">
        <f t="shared" si="5"/>
        <v>-0.04345932346</v>
      </c>
    </row>
    <row r="326" ht="15.75" customHeight="1">
      <c r="A326" s="3">
        <v>41962.0</v>
      </c>
      <c r="B326" s="1">
        <v>2014.0</v>
      </c>
      <c r="C326" s="1">
        <v>11.0</v>
      </c>
      <c r="D326" s="1" t="s">
        <v>27</v>
      </c>
      <c r="E326" s="1">
        <v>48529.10336034025</v>
      </c>
      <c r="F326" s="1">
        <v>47409.55405646717</v>
      </c>
      <c r="G326" s="1">
        <v>1291.0</v>
      </c>
      <c r="H326" s="1">
        <v>37.59</v>
      </c>
      <c r="I326" s="1">
        <v>36.72</v>
      </c>
      <c r="J326" s="1">
        <v>0.87</v>
      </c>
      <c r="K326" s="1">
        <v>2.31</v>
      </c>
      <c r="L326" s="1">
        <f t="shared" si="1"/>
        <v>1119.549304</v>
      </c>
      <c r="M326" s="1" t="str">
        <f t="shared" si="2"/>
        <v>Regular</v>
      </c>
      <c r="N326" s="1">
        <f t="shared" si="3"/>
        <v>37.59032019</v>
      </c>
      <c r="O326" s="1">
        <f t="shared" si="4"/>
        <v>38.61680662</v>
      </c>
      <c r="P326" s="4">
        <f t="shared" si="5"/>
        <v>-0.04349512316</v>
      </c>
    </row>
    <row r="327" ht="15.75" customHeight="1">
      <c r="A327" s="3">
        <v>41963.0</v>
      </c>
      <c r="B327" s="1">
        <v>2014.0</v>
      </c>
      <c r="C327" s="1">
        <v>11.0</v>
      </c>
      <c r="D327" s="1" t="s">
        <v>27</v>
      </c>
      <c r="E327" s="1">
        <v>51040.88136807025</v>
      </c>
      <c r="F327" s="1">
        <v>50038.142634161086</v>
      </c>
      <c r="G327" s="1">
        <v>1361.0</v>
      </c>
      <c r="H327" s="1">
        <v>37.5</v>
      </c>
      <c r="I327" s="1">
        <v>36.77</v>
      </c>
      <c r="J327" s="1">
        <v>0.74</v>
      </c>
      <c r="K327" s="1">
        <v>1.96</v>
      </c>
      <c r="L327" s="1">
        <f t="shared" si="1"/>
        <v>1002.738734</v>
      </c>
      <c r="M327" s="1" t="str">
        <f t="shared" si="2"/>
        <v>Regular</v>
      </c>
      <c r="N327" s="1">
        <f t="shared" si="3"/>
        <v>37.50248447</v>
      </c>
      <c r="O327" s="1">
        <f t="shared" si="4"/>
        <v>38.61757896</v>
      </c>
      <c r="P327" s="4">
        <f t="shared" si="5"/>
        <v>-0.04352269943</v>
      </c>
    </row>
    <row r="328" ht="15.75" customHeight="1">
      <c r="A328" s="3">
        <v>41964.0</v>
      </c>
      <c r="B328" s="1">
        <v>2014.0</v>
      </c>
      <c r="C328" s="1">
        <v>11.0</v>
      </c>
      <c r="D328" s="1" t="s">
        <v>27</v>
      </c>
      <c r="E328" s="1">
        <v>53973.92224002</v>
      </c>
      <c r="F328" s="1">
        <v>47192.49828410188</v>
      </c>
      <c r="G328" s="1">
        <v>1281.0</v>
      </c>
      <c r="H328" s="1">
        <v>42.13</v>
      </c>
      <c r="I328" s="1">
        <v>36.84</v>
      </c>
      <c r="J328" s="1">
        <v>5.29</v>
      </c>
      <c r="K328" s="1">
        <v>12.56</v>
      </c>
      <c r="L328" s="1">
        <f t="shared" si="1"/>
        <v>6781.423956</v>
      </c>
      <c r="M328" s="1" t="str">
        <f t="shared" si="2"/>
        <v>Regular</v>
      </c>
      <c r="N328" s="1">
        <f t="shared" si="3"/>
        <v>42.1342094</v>
      </c>
      <c r="O328" s="1">
        <f t="shared" si="4"/>
        <v>38.61837553</v>
      </c>
      <c r="P328" s="4">
        <f t="shared" si="5"/>
        <v>-0.04355023516</v>
      </c>
    </row>
    <row r="329" ht="15.75" customHeight="1">
      <c r="A329" s="3">
        <v>41965.0</v>
      </c>
      <c r="B329" s="1">
        <v>2014.0</v>
      </c>
      <c r="C329" s="1">
        <v>11.0</v>
      </c>
      <c r="D329" s="1" t="s">
        <v>27</v>
      </c>
      <c r="E329" s="1">
        <v>47497.98253350988</v>
      </c>
      <c r="F329" s="1">
        <v>41179.08824545916</v>
      </c>
      <c r="G329" s="1">
        <v>1122.0</v>
      </c>
      <c r="H329" s="1">
        <v>42.33</v>
      </c>
      <c r="I329" s="1">
        <v>36.7</v>
      </c>
      <c r="J329" s="1">
        <v>5.63</v>
      </c>
      <c r="K329" s="1">
        <v>13.3</v>
      </c>
      <c r="L329" s="1">
        <f t="shared" si="1"/>
        <v>6318.894288</v>
      </c>
      <c r="M329" s="1" t="str">
        <f t="shared" si="2"/>
        <v>Regular</v>
      </c>
      <c r="N329" s="1">
        <f t="shared" si="3"/>
        <v>42.33331777</v>
      </c>
      <c r="O329" s="1">
        <f t="shared" si="4"/>
        <v>38.61909567</v>
      </c>
      <c r="P329" s="4">
        <f t="shared" si="5"/>
        <v>-0.04362826202</v>
      </c>
    </row>
    <row r="330" ht="15.75" customHeight="1">
      <c r="A330" s="3">
        <v>41966.0</v>
      </c>
      <c r="B330" s="1">
        <v>2014.0</v>
      </c>
      <c r="C330" s="1">
        <v>11.0</v>
      </c>
      <c r="D330" s="1" t="s">
        <v>27</v>
      </c>
      <c r="E330" s="1">
        <v>31219.951528719885</v>
      </c>
      <c r="F330" s="1">
        <v>26893.304677301025</v>
      </c>
      <c r="G330" s="1">
        <v>737.0</v>
      </c>
      <c r="H330" s="1">
        <v>42.36</v>
      </c>
      <c r="I330" s="1">
        <v>36.49</v>
      </c>
      <c r="J330" s="1">
        <v>5.87</v>
      </c>
      <c r="K330" s="1">
        <v>13.86</v>
      </c>
      <c r="L330" s="1">
        <f t="shared" si="1"/>
        <v>4326.646851</v>
      </c>
      <c r="M330" s="1" t="str">
        <f t="shared" si="2"/>
        <v>Regular</v>
      </c>
      <c r="N330" s="1">
        <f t="shared" si="3"/>
        <v>42.36085689</v>
      </c>
      <c r="O330" s="1">
        <f t="shared" si="4"/>
        <v>38.61977619</v>
      </c>
      <c r="P330" s="4">
        <f t="shared" si="5"/>
        <v>-0.0436999879</v>
      </c>
    </row>
    <row r="331" ht="15.75" customHeight="1">
      <c r="A331" s="3">
        <v>41967.0</v>
      </c>
      <c r="B331" s="1">
        <v>2014.0</v>
      </c>
      <c r="C331" s="1">
        <v>11.0</v>
      </c>
      <c r="D331" s="1" t="s">
        <v>27</v>
      </c>
      <c r="E331" s="1">
        <v>26870.323873470003</v>
      </c>
      <c r="F331" s="1">
        <v>23516.0417180955</v>
      </c>
      <c r="G331" s="1">
        <v>641.0</v>
      </c>
      <c r="H331" s="1">
        <v>41.92</v>
      </c>
      <c r="I331" s="1">
        <v>36.69</v>
      </c>
      <c r="J331" s="1">
        <v>5.23</v>
      </c>
      <c r="K331" s="1">
        <v>12.48</v>
      </c>
      <c r="L331" s="1">
        <f t="shared" si="1"/>
        <v>3354.282155</v>
      </c>
      <c r="M331" s="1" t="str">
        <f t="shared" si="2"/>
        <v>Regular</v>
      </c>
      <c r="N331" s="1">
        <f t="shared" si="3"/>
        <v>41.91938202</v>
      </c>
      <c r="O331" s="1">
        <f t="shared" si="4"/>
        <v>38.62027271</v>
      </c>
      <c r="P331" s="4">
        <f t="shared" si="5"/>
        <v>-0.04374864607</v>
      </c>
    </row>
    <row r="332" ht="15.75" customHeight="1">
      <c r="A332" s="3">
        <v>41968.0</v>
      </c>
      <c r="B332" s="1">
        <v>2014.0</v>
      </c>
      <c r="C332" s="1">
        <v>11.0</v>
      </c>
      <c r="D332" s="1" t="s">
        <v>27</v>
      </c>
      <c r="E332" s="1">
        <v>40530.64229268001</v>
      </c>
      <c r="F332" s="1">
        <v>35674.1907631663</v>
      </c>
      <c r="G332" s="1">
        <v>968.0</v>
      </c>
      <c r="H332" s="1">
        <v>41.87</v>
      </c>
      <c r="I332" s="1">
        <v>36.85</v>
      </c>
      <c r="J332" s="1">
        <v>5.02</v>
      </c>
      <c r="K332" s="1">
        <v>11.98</v>
      </c>
      <c r="L332" s="1">
        <f t="shared" si="1"/>
        <v>4856.45153</v>
      </c>
      <c r="M332" s="1" t="str">
        <f t="shared" si="2"/>
        <v>Regular</v>
      </c>
      <c r="N332" s="1">
        <f t="shared" si="3"/>
        <v>41.87049824</v>
      </c>
      <c r="O332" s="1">
        <f t="shared" si="4"/>
        <v>38.62066495</v>
      </c>
      <c r="P332" s="4">
        <f t="shared" si="5"/>
        <v>-0.04378738533</v>
      </c>
    </row>
    <row r="333" ht="15.75" customHeight="1">
      <c r="A333" s="3">
        <v>41969.0</v>
      </c>
      <c r="B333" s="1">
        <v>2014.0</v>
      </c>
      <c r="C333" s="1">
        <v>11.0</v>
      </c>
      <c r="D333" s="1" t="s">
        <v>27</v>
      </c>
      <c r="E333" s="1">
        <v>30371.43133504988</v>
      </c>
      <c r="F333" s="1">
        <v>26054.849168281442</v>
      </c>
      <c r="G333" s="1">
        <v>709.0</v>
      </c>
      <c r="H333" s="1">
        <v>42.84</v>
      </c>
      <c r="I333" s="1">
        <v>36.75</v>
      </c>
      <c r="J333" s="1">
        <v>6.09</v>
      </c>
      <c r="K333" s="1">
        <v>14.21</v>
      </c>
      <c r="L333" s="1">
        <f t="shared" si="1"/>
        <v>4316.582167</v>
      </c>
      <c r="M333" s="1" t="str">
        <f t="shared" si="2"/>
        <v>Regular</v>
      </c>
      <c r="N333" s="1">
        <f t="shared" si="3"/>
        <v>42.83699765</v>
      </c>
      <c r="O333" s="1">
        <f t="shared" si="4"/>
        <v>38.6212064</v>
      </c>
      <c r="P333" s="4">
        <f t="shared" si="5"/>
        <v>-0.04384411519</v>
      </c>
    </row>
    <row r="334" ht="15.75" customHeight="1">
      <c r="A334" s="3">
        <v>41970.0</v>
      </c>
      <c r="B334" s="1">
        <v>2014.0</v>
      </c>
      <c r="C334" s="1">
        <v>11.0</v>
      </c>
      <c r="D334" s="1" t="s">
        <v>27</v>
      </c>
      <c r="E334" s="1">
        <v>37776.65876674988</v>
      </c>
      <c r="F334" s="1">
        <v>32719.68963642164</v>
      </c>
      <c r="G334" s="1">
        <v>880.0</v>
      </c>
      <c r="H334" s="1">
        <v>42.93</v>
      </c>
      <c r="I334" s="1">
        <v>37.18</v>
      </c>
      <c r="J334" s="1">
        <v>5.75</v>
      </c>
      <c r="K334" s="1">
        <v>13.39</v>
      </c>
      <c r="L334" s="1">
        <f t="shared" si="1"/>
        <v>5056.96913</v>
      </c>
      <c r="M334" s="1" t="str">
        <f t="shared" si="2"/>
        <v>Regular</v>
      </c>
      <c r="N334" s="1">
        <f t="shared" si="3"/>
        <v>42.92802133</v>
      </c>
      <c r="O334" s="1">
        <f t="shared" si="4"/>
        <v>38.62162671</v>
      </c>
      <c r="P334" s="4">
        <f t="shared" si="5"/>
        <v>-0.0438924481</v>
      </c>
    </row>
    <row r="335" ht="15.75" customHeight="1">
      <c r="A335" s="3">
        <v>41971.0</v>
      </c>
      <c r="B335" s="1">
        <v>2014.0</v>
      </c>
      <c r="C335" s="1">
        <v>11.0</v>
      </c>
      <c r="D335" s="1" t="s">
        <v>27</v>
      </c>
      <c r="E335" s="1">
        <v>46818.20532261</v>
      </c>
      <c r="F335" s="1">
        <v>40652.57640885138</v>
      </c>
      <c r="G335" s="1">
        <v>1096.0</v>
      </c>
      <c r="H335" s="1">
        <v>42.72</v>
      </c>
      <c r="I335" s="1">
        <v>37.09</v>
      </c>
      <c r="J335" s="1">
        <v>5.63</v>
      </c>
      <c r="K335" s="1">
        <v>13.17</v>
      </c>
      <c r="L335" s="1">
        <f t="shared" si="1"/>
        <v>6165.628914</v>
      </c>
      <c r="M335" s="1" t="str">
        <f t="shared" si="2"/>
        <v>Regular</v>
      </c>
      <c r="N335" s="1">
        <f t="shared" si="3"/>
        <v>42.71734062</v>
      </c>
      <c r="O335" s="1">
        <f t="shared" si="4"/>
        <v>38.62202806</v>
      </c>
      <c r="P335" s="4">
        <f t="shared" si="5"/>
        <v>-0.04394992921</v>
      </c>
    </row>
    <row r="336" ht="15.75" customHeight="1">
      <c r="A336" s="3">
        <v>41972.0</v>
      </c>
      <c r="B336" s="1">
        <v>2014.0</v>
      </c>
      <c r="C336" s="1">
        <v>11.0</v>
      </c>
      <c r="D336" s="1" t="s">
        <v>27</v>
      </c>
      <c r="E336" s="1">
        <v>88321.62554976073</v>
      </c>
      <c r="F336" s="1">
        <v>79880.24368293647</v>
      </c>
      <c r="G336" s="1">
        <v>2068.0</v>
      </c>
      <c r="H336" s="1">
        <v>42.71</v>
      </c>
      <c r="I336" s="1">
        <v>38.63</v>
      </c>
      <c r="J336" s="1">
        <v>4.08</v>
      </c>
      <c r="K336" s="1">
        <v>9.56</v>
      </c>
      <c r="L336" s="1">
        <f t="shared" si="1"/>
        <v>8441.381867</v>
      </c>
      <c r="M336" s="1" t="str">
        <f t="shared" si="2"/>
        <v>Regular</v>
      </c>
      <c r="N336" s="1">
        <f t="shared" si="3"/>
        <v>42.70871642</v>
      </c>
      <c r="O336" s="1">
        <f t="shared" si="4"/>
        <v>38.62255938</v>
      </c>
      <c r="P336" s="4">
        <f t="shared" si="5"/>
        <v>-0.0440203488</v>
      </c>
    </row>
    <row r="337" ht="15.75" customHeight="1">
      <c r="A337" s="3">
        <v>41973.0</v>
      </c>
      <c r="B337" s="1">
        <v>2014.0</v>
      </c>
      <c r="C337" s="1">
        <v>11.0</v>
      </c>
      <c r="D337" s="1" t="s">
        <v>27</v>
      </c>
      <c r="E337" s="1">
        <v>101037.8278297916</v>
      </c>
      <c r="F337" s="1">
        <v>93177.88470439028</v>
      </c>
      <c r="G337" s="1">
        <v>2375.0</v>
      </c>
      <c r="H337" s="1">
        <v>42.54</v>
      </c>
      <c r="I337" s="1">
        <v>39.23</v>
      </c>
      <c r="J337" s="1">
        <v>3.31</v>
      </c>
      <c r="K337" s="1">
        <v>7.78</v>
      </c>
      <c r="L337" s="1">
        <f t="shared" si="1"/>
        <v>7859.943125</v>
      </c>
      <c r="M337" s="1" t="str">
        <f t="shared" si="2"/>
        <v>Regular</v>
      </c>
      <c r="N337" s="1">
        <f t="shared" si="3"/>
        <v>42.5422433</v>
      </c>
      <c r="O337" s="1">
        <f t="shared" si="4"/>
        <v>38.6225566</v>
      </c>
      <c r="P337" s="4">
        <f t="shared" si="5"/>
        <v>-0.04412601015</v>
      </c>
    </row>
    <row r="338" ht="15.75" customHeight="1">
      <c r="A338" s="3">
        <v>41974.0</v>
      </c>
      <c r="B338" s="1">
        <v>2014.0</v>
      </c>
      <c r="C338" s="1">
        <v>12.0</v>
      </c>
      <c r="D338" s="1" t="s">
        <v>16</v>
      </c>
      <c r="E338" s="1">
        <v>105100.66764851147</v>
      </c>
      <c r="F338" s="1">
        <v>97257.39466572937</v>
      </c>
      <c r="G338" s="1">
        <v>2492.0</v>
      </c>
      <c r="H338" s="1">
        <v>42.18</v>
      </c>
      <c r="I338" s="1">
        <v>39.03</v>
      </c>
      <c r="J338" s="1">
        <v>3.15</v>
      </c>
      <c r="K338" s="1">
        <v>7.46</v>
      </c>
      <c r="L338" s="1">
        <f t="shared" si="1"/>
        <v>7843.272983</v>
      </c>
      <c r="M338" s="1" t="str">
        <f t="shared" si="2"/>
        <v>Regular</v>
      </c>
      <c r="N338" s="1">
        <f t="shared" si="3"/>
        <v>42.17522779</v>
      </c>
      <c r="O338" s="1">
        <f t="shared" si="4"/>
        <v>38.62209681</v>
      </c>
      <c r="P338" s="4">
        <f t="shared" si="5"/>
        <v>-0.0442316688</v>
      </c>
    </row>
    <row r="339" ht="15.75" customHeight="1">
      <c r="A339" s="3">
        <v>41975.0</v>
      </c>
      <c r="B339" s="1">
        <v>2014.0</v>
      </c>
      <c r="C339" s="1">
        <v>12.0</v>
      </c>
      <c r="D339" s="1" t="s">
        <v>16</v>
      </c>
      <c r="E339" s="1">
        <v>88219.52548812989</v>
      </c>
      <c r="F339" s="1">
        <v>85533.42892331851</v>
      </c>
      <c r="G339" s="1">
        <v>2170.0</v>
      </c>
      <c r="H339" s="1">
        <v>40.65</v>
      </c>
      <c r="I339" s="1">
        <v>39.42</v>
      </c>
      <c r="J339" s="1">
        <v>1.24</v>
      </c>
      <c r="K339" s="1">
        <v>3.04</v>
      </c>
      <c r="L339" s="1">
        <f t="shared" si="1"/>
        <v>2686.096565</v>
      </c>
      <c r="M339" s="1" t="str">
        <f t="shared" si="2"/>
        <v>Regular</v>
      </c>
      <c r="N339" s="1">
        <f t="shared" si="3"/>
        <v>40.65415921</v>
      </c>
      <c r="O339" s="1">
        <f t="shared" si="4"/>
        <v>38.62177578</v>
      </c>
      <c r="P339" s="4">
        <f t="shared" si="5"/>
        <v>-0.04433891412</v>
      </c>
    </row>
    <row r="340" ht="15.75" customHeight="1">
      <c r="A340" s="3">
        <v>41976.0</v>
      </c>
      <c r="B340" s="1">
        <v>2014.0</v>
      </c>
      <c r="C340" s="1">
        <v>12.0</v>
      </c>
      <c r="D340" s="1" t="s">
        <v>16</v>
      </c>
      <c r="E340" s="1">
        <v>71590.36928922037</v>
      </c>
      <c r="F340" s="1">
        <v>69654.93030590401</v>
      </c>
      <c r="G340" s="1">
        <v>1784.0</v>
      </c>
      <c r="H340" s="1">
        <v>40.13</v>
      </c>
      <c r="I340" s="1">
        <v>39.04</v>
      </c>
      <c r="J340" s="1">
        <v>1.08</v>
      </c>
      <c r="K340" s="1">
        <v>2.7</v>
      </c>
      <c r="L340" s="1">
        <f t="shared" si="1"/>
        <v>1935.438983</v>
      </c>
      <c r="M340" s="1" t="str">
        <f t="shared" si="2"/>
        <v>Regular</v>
      </c>
      <c r="N340" s="1">
        <f t="shared" si="3"/>
        <v>40.12913077</v>
      </c>
      <c r="O340" s="1">
        <f t="shared" si="4"/>
        <v>38.62122799</v>
      </c>
      <c r="P340" s="4">
        <f t="shared" si="5"/>
        <v>-0.04439559847</v>
      </c>
    </row>
    <row r="341" ht="15.75" customHeight="1">
      <c r="A341" s="3">
        <v>41977.0</v>
      </c>
      <c r="B341" s="1">
        <v>2014.0</v>
      </c>
      <c r="C341" s="1">
        <v>12.0</v>
      </c>
      <c r="D341" s="1" t="s">
        <v>16</v>
      </c>
      <c r="E341" s="1">
        <v>54996.62169262025</v>
      </c>
      <c r="F341" s="1">
        <v>54503.02854750456</v>
      </c>
      <c r="G341" s="1">
        <v>1368.0</v>
      </c>
      <c r="H341" s="1">
        <v>40.2</v>
      </c>
      <c r="I341" s="1">
        <v>39.84</v>
      </c>
      <c r="J341" s="1">
        <v>0.36</v>
      </c>
      <c r="K341" s="1">
        <v>0.9</v>
      </c>
      <c r="L341" s="1">
        <f t="shared" si="1"/>
        <v>493.5931451</v>
      </c>
      <c r="M341" s="1" t="str">
        <f t="shared" si="2"/>
        <v>Regular</v>
      </c>
      <c r="N341" s="1">
        <f t="shared" si="3"/>
        <v>40.20220884</v>
      </c>
      <c r="O341" s="1">
        <f t="shared" si="4"/>
        <v>38.62098809</v>
      </c>
      <c r="P341" s="4">
        <f t="shared" si="5"/>
        <v>-0.04443956065</v>
      </c>
    </row>
    <row r="342" ht="15.75" customHeight="1">
      <c r="A342" s="3">
        <v>41978.0</v>
      </c>
      <c r="B342" s="1">
        <v>2014.0</v>
      </c>
      <c r="C342" s="1">
        <v>12.0</v>
      </c>
      <c r="D342" s="1" t="s">
        <v>16</v>
      </c>
      <c r="E342" s="1">
        <v>77884.1816098255</v>
      </c>
      <c r="F342" s="1">
        <v>77619.29488939041</v>
      </c>
      <c r="G342" s="1">
        <v>1914.0</v>
      </c>
      <c r="H342" s="1">
        <v>40.69</v>
      </c>
      <c r="I342" s="1">
        <v>40.55</v>
      </c>
      <c r="J342" s="1">
        <v>0.14</v>
      </c>
      <c r="K342" s="1">
        <v>0.34</v>
      </c>
      <c r="L342" s="1">
        <f t="shared" si="1"/>
        <v>264.8867204</v>
      </c>
      <c r="M342" s="1" t="str">
        <f t="shared" si="2"/>
        <v>Regular</v>
      </c>
      <c r="N342" s="1">
        <f t="shared" si="3"/>
        <v>40.69183992</v>
      </c>
      <c r="O342" s="1">
        <f t="shared" si="4"/>
        <v>38.62045713</v>
      </c>
      <c r="P342" s="4">
        <f t="shared" si="5"/>
        <v>-0.04446482695</v>
      </c>
    </row>
    <row r="343" ht="15.75" customHeight="1">
      <c r="A343" s="3">
        <v>41979.0</v>
      </c>
      <c r="B343" s="1">
        <v>2014.0</v>
      </c>
      <c r="C343" s="1">
        <v>12.0</v>
      </c>
      <c r="D343" s="1" t="s">
        <v>16</v>
      </c>
      <c r="E343" s="1">
        <v>150370.11672367636</v>
      </c>
      <c r="F343" s="1">
        <v>154998.8345818768</v>
      </c>
      <c r="G343" s="1">
        <v>3765.0</v>
      </c>
      <c r="H343" s="1">
        <v>39.94</v>
      </c>
      <c r="I343" s="1">
        <v>41.17</v>
      </c>
      <c r="J343" s="1">
        <v>-1.23</v>
      </c>
      <c r="K343" s="1">
        <v>-3.08</v>
      </c>
      <c r="L343" s="1">
        <f t="shared" si="1"/>
        <v>-4628.717858</v>
      </c>
      <c r="M343" s="1" t="str">
        <f t="shared" si="2"/>
        <v>ON SALE</v>
      </c>
      <c r="N343" s="1">
        <f t="shared" si="3"/>
        <v>39.93894202</v>
      </c>
      <c r="O343" s="1">
        <f t="shared" si="4"/>
        <v>38.61927978</v>
      </c>
      <c r="P343" s="4">
        <f t="shared" si="5"/>
        <v>-0.04449691271</v>
      </c>
    </row>
    <row r="344" ht="15.75" customHeight="1">
      <c r="A344" s="3">
        <v>41980.0</v>
      </c>
      <c r="B344" s="1">
        <v>2014.0</v>
      </c>
      <c r="C344" s="1">
        <v>12.0</v>
      </c>
      <c r="D344" s="1" t="s">
        <v>16</v>
      </c>
      <c r="E344" s="1">
        <v>104675.37611534917</v>
      </c>
      <c r="F344" s="1">
        <v>111903.73790247929</v>
      </c>
      <c r="G344" s="1">
        <v>2712.0</v>
      </c>
      <c r="H344" s="1">
        <v>38.6</v>
      </c>
      <c r="I344" s="1">
        <v>41.26</v>
      </c>
      <c r="J344" s="1">
        <v>-2.67</v>
      </c>
      <c r="K344" s="1">
        <v>-6.91</v>
      </c>
      <c r="L344" s="1">
        <f t="shared" si="1"/>
        <v>-7228.361787</v>
      </c>
      <c r="M344" s="1" t="str">
        <f t="shared" si="2"/>
        <v>ON SALE</v>
      </c>
      <c r="N344" s="1">
        <f t="shared" si="3"/>
        <v>38.59711509</v>
      </c>
      <c r="O344" s="1">
        <f t="shared" si="4"/>
        <v>38.61622204</v>
      </c>
      <c r="P344" s="4">
        <f t="shared" si="5"/>
        <v>-0.04451468523</v>
      </c>
    </row>
    <row r="345" ht="15.75" customHeight="1">
      <c r="A345" s="3">
        <v>41981.0</v>
      </c>
      <c r="B345" s="1">
        <v>2014.0</v>
      </c>
      <c r="C345" s="1">
        <v>12.0</v>
      </c>
      <c r="D345" s="1" t="s">
        <v>16</v>
      </c>
      <c r="E345" s="1">
        <v>90121.53047506476</v>
      </c>
      <c r="F345" s="1">
        <v>91081.66819408616</v>
      </c>
      <c r="G345" s="1">
        <v>2222.0</v>
      </c>
      <c r="H345" s="1">
        <v>40.56</v>
      </c>
      <c r="I345" s="1">
        <v>40.99</v>
      </c>
      <c r="J345" s="1">
        <v>-0.43</v>
      </c>
      <c r="K345" s="1">
        <v>-1.07</v>
      </c>
      <c r="L345" s="1">
        <f t="shared" si="1"/>
        <v>-960.137719</v>
      </c>
      <c r="M345" s="1" t="str">
        <f t="shared" si="2"/>
        <v>ON SALE</v>
      </c>
      <c r="N345" s="1">
        <f t="shared" si="3"/>
        <v>40.55874459</v>
      </c>
      <c r="O345" s="1">
        <f t="shared" si="4"/>
        <v>38.61393356</v>
      </c>
      <c r="P345" s="4">
        <f t="shared" si="5"/>
        <v>-0.04449252793</v>
      </c>
    </row>
    <row r="346" ht="15.75" customHeight="1">
      <c r="A346" s="3">
        <v>41982.0</v>
      </c>
      <c r="B346" s="1">
        <v>2014.0</v>
      </c>
      <c r="C346" s="1">
        <v>12.0</v>
      </c>
      <c r="D346" s="1" t="s">
        <v>16</v>
      </c>
      <c r="E346" s="1">
        <v>75425.44369829049</v>
      </c>
      <c r="F346" s="1">
        <v>77014.25596030557</v>
      </c>
      <c r="G346" s="1">
        <v>1861.0</v>
      </c>
      <c r="H346" s="1">
        <v>40.53</v>
      </c>
      <c r="I346" s="1">
        <v>41.38</v>
      </c>
      <c r="J346" s="1">
        <v>-0.85</v>
      </c>
      <c r="K346" s="1">
        <v>-2.11</v>
      </c>
      <c r="L346" s="1">
        <f t="shared" si="1"/>
        <v>-1588.812262</v>
      </c>
      <c r="M346" s="1" t="str">
        <f t="shared" si="2"/>
        <v>ON SALE</v>
      </c>
      <c r="N346" s="1">
        <f t="shared" si="3"/>
        <v>40.52952375</v>
      </c>
      <c r="O346" s="1">
        <f t="shared" si="4"/>
        <v>38.61224819</v>
      </c>
      <c r="P346" s="4">
        <f t="shared" si="5"/>
        <v>-0.04451885313</v>
      </c>
    </row>
    <row r="347" ht="15.75" customHeight="1">
      <c r="A347" s="3">
        <v>41983.0</v>
      </c>
      <c r="B347" s="1">
        <v>2014.0</v>
      </c>
      <c r="C347" s="1">
        <v>12.0</v>
      </c>
      <c r="D347" s="1" t="s">
        <v>16</v>
      </c>
      <c r="E347" s="1">
        <v>161844.80943567367</v>
      </c>
      <c r="F347" s="1">
        <v>169348.51858486477</v>
      </c>
      <c r="G347" s="1">
        <v>4095.0</v>
      </c>
      <c r="H347" s="1">
        <v>39.52</v>
      </c>
      <c r="I347" s="1">
        <v>41.35</v>
      </c>
      <c r="J347" s="1">
        <v>-1.83</v>
      </c>
      <c r="K347" s="1">
        <v>-4.64</v>
      </c>
      <c r="L347" s="1">
        <f t="shared" si="1"/>
        <v>-7503.709149</v>
      </c>
      <c r="M347" s="1" t="str">
        <f t="shared" si="2"/>
        <v>ON SALE</v>
      </c>
      <c r="N347" s="1">
        <f t="shared" si="3"/>
        <v>39.52254199</v>
      </c>
      <c r="O347" s="1">
        <f t="shared" si="4"/>
        <v>38.61060161</v>
      </c>
      <c r="P347" s="4">
        <f t="shared" si="5"/>
        <v>-0.04453413408</v>
      </c>
    </row>
    <row r="348" ht="15.75" customHeight="1">
      <c r="A348" s="3">
        <v>41984.0</v>
      </c>
      <c r="B348" s="1">
        <v>2014.0</v>
      </c>
      <c r="C348" s="1">
        <v>12.0</v>
      </c>
      <c r="D348" s="1" t="s">
        <v>16</v>
      </c>
      <c r="E348" s="1">
        <v>158603.35696800365</v>
      </c>
      <c r="F348" s="1">
        <v>171692.99360653348</v>
      </c>
      <c r="G348" s="1">
        <v>4157.0</v>
      </c>
      <c r="H348" s="1">
        <v>38.15</v>
      </c>
      <c r="I348" s="1">
        <v>41.3</v>
      </c>
      <c r="J348" s="1">
        <v>-3.15</v>
      </c>
      <c r="K348" s="1">
        <v>-8.25</v>
      </c>
      <c r="L348" s="1">
        <f t="shared" si="1"/>
        <v>-13089.63664</v>
      </c>
      <c r="M348" s="1" t="str">
        <f t="shared" si="2"/>
        <v>ON SALE</v>
      </c>
      <c r="N348" s="1">
        <f t="shared" si="3"/>
        <v>38.15332138</v>
      </c>
      <c r="O348" s="1">
        <f t="shared" si="4"/>
        <v>38.60700861</v>
      </c>
      <c r="P348" s="4">
        <f t="shared" si="5"/>
        <v>-0.04453157288</v>
      </c>
    </row>
    <row r="349" ht="15.75" customHeight="1">
      <c r="A349" s="3">
        <v>41985.0</v>
      </c>
      <c r="B349" s="1">
        <v>2014.0</v>
      </c>
      <c r="C349" s="1">
        <v>12.0</v>
      </c>
      <c r="D349" s="1" t="s">
        <v>16</v>
      </c>
      <c r="E349" s="1">
        <v>279092.09595645015</v>
      </c>
      <c r="F349" s="1">
        <v>301236.10987981</v>
      </c>
      <c r="G349" s="1">
        <v>7259.0</v>
      </c>
      <c r="H349" s="1">
        <v>38.45</v>
      </c>
      <c r="I349" s="1">
        <v>41.5</v>
      </c>
      <c r="J349" s="1">
        <v>-3.05</v>
      </c>
      <c r="K349" s="1">
        <v>-7.93</v>
      </c>
      <c r="L349" s="1">
        <f t="shared" si="1"/>
        <v>-22144.01392</v>
      </c>
      <c r="M349" s="1" t="str">
        <f t="shared" si="2"/>
        <v>ON SALE</v>
      </c>
      <c r="N349" s="1">
        <f t="shared" si="3"/>
        <v>38.44773329</v>
      </c>
      <c r="O349" s="1">
        <f t="shared" si="4"/>
        <v>38.60342186</v>
      </c>
      <c r="P349" s="4">
        <f t="shared" si="5"/>
        <v>-0.04447936917</v>
      </c>
    </row>
    <row r="350" ht="15.75" customHeight="1">
      <c r="A350" s="3">
        <v>41986.0</v>
      </c>
      <c r="B350" s="1">
        <v>2014.0</v>
      </c>
      <c r="C350" s="1">
        <v>12.0</v>
      </c>
      <c r="D350" s="1" t="s">
        <v>16</v>
      </c>
      <c r="E350" s="1">
        <v>369350.9894808982</v>
      </c>
      <c r="F350" s="1">
        <v>402564.67862758524</v>
      </c>
      <c r="G350" s="1">
        <v>9654.0</v>
      </c>
      <c r="H350" s="1">
        <v>38.26</v>
      </c>
      <c r="I350" s="1">
        <v>41.7</v>
      </c>
      <c r="J350" s="1">
        <v>-3.44</v>
      </c>
      <c r="K350" s="1">
        <v>-8.99</v>
      </c>
      <c r="L350" s="1">
        <f t="shared" si="1"/>
        <v>-33213.68915</v>
      </c>
      <c r="M350" s="1" t="str">
        <f t="shared" si="2"/>
        <v>ON SALE</v>
      </c>
      <c r="N350" s="1">
        <f t="shared" si="3"/>
        <v>38.25885534</v>
      </c>
      <c r="O350" s="1">
        <f t="shared" si="4"/>
        <v>38.59667877</v>
      </c>
      <c r="P350" s="4">
        <f t="shared" si="5"/>
        <v>-0.04439488259</v>
      </c>
    </row>
    <row r="351" ht="15.75" customHeight="1">
      <c r="A351" s="3">
        <v>41987.0</v>
      </c>
      <c r="B351" s="1">
        <v>2014.0</v>
      </c>
      <c r="C351" s="1">
        <v>12.0</v>
      </c>
      <c r="D351" s="1" t="s">
        <v>16</v>
      </c>
      <c r="E351" s="1">
        <v>177500.10772560866</v>
      </c>
      <c r="F351" s="1">
        <v>192327.32065612174</v>
      </c>
      <c r="G351" s="1">
        <v>4632.0</v>
      </c>
      <c r="H351" s="1">
        <v>38.32</v>
      </c>
      <c r="I351" s="1">
        <v>41.52</v>
      </c>
      <c r="J351" s="1">
        <v>-3.2</v>
      </c>
      <c r="K351" s="1">
        <v>-8.35</v>
      </c>
      <c r="L351" s="1">
        <f t="shared" si="1"/>
        <v>-14827.21293</v>
      </c>
      <c r="M351" s="1" t="str">
        <f t="shared" si="2"/>
        <v>ON SALE</v>
      </c>
      <c r="N351" s="1">
        <f t="shared" si="3"/>
        <v>38.32040322</v>
      </c>
      <c r="O351" s="1">
        <f t="shared" si="4"/>
        <v>38.58703759</v>
      </c>
      <c r="P351" s="4">
        <f t="shared" si="5"/>
        <v>-0.04424839692</v>
      </c>
    </row>
    <row r="352" ht="15.75" customHeight="1">
      <c r="A352" s="3">
        <v>41988.0</v>
      </c>
      <c r="B352" s="1">
        <v>2014.0</v>
      </c>
      <c r="C352" s="1">
        <v>12.0</v>
      </c>
      <c r="D352" s="1" t="s">
        <v>16</v>
      </c>
      <c r="E352" s="1">
        <v>282246.62867828755</v>
      </c>
      <c r="F352" s="1">
        <v>304489.638251931</v>
      </c>
      <c r="G352" s="1">
        <v>7341.0</v>
      </c>
      <c r="H352" s="1">
        <v>38.45</v>
      </c>
      <c r="I352" s="1">
        <v>41.48</v>
      </c>
      <c r="J352" s="1">
        <v>-3.03</v>
      </c>
      <c r="K352" s="1">
        <v>-7.88</v>
      </c>
      <c r="L352" s="1">
        <f t="shared" si="1"/>
        <v>-22243.00957</v>
      </c>
      <c r="M352" s="1" t="str">
        <f t="shared" si="2"/>
        <v>ON SALE</v>
      </c>
      <c r="N352" s="1">
        <f t="shared" si="3"/>
        <v>38.44798102</v>
      </c>
      <c r="O352" s="1">
        <f t="shared" si="4"/>
        <v>38.58265595</v>
      </c>
      <c r="P352" s="4">
        <f t="shared" si="5"/>
        <v>-0.04418756084</v>
      </c>
    </row>
    <row r="353" ht="15.75" customHeight="1">
      <c r="A353" s="3">
        <v>41989.0</v>
      </c>
      <c r="B353" s="1">
        <v>2014.0</v>
      </c>
      <c r="C353" s="1">
        <v>12.0</v>
      </c>
      <c r="D353" s="1" t="s">
        <v>16</v>
      </c>
      <c r="E353" s="1">
        <v>166037.92572951366</v>
      </c>
      <c r="F353" s="1">
        <v>179571.12907994096</v>
      </c>
      <c r="G353" s="1">
        <v>4308.0</v>
      </c>
      <c r="H353" s="1">
        <v>38.54</v>
      </c>
      <c r="I353" s="1">
        <v>41.68</v>
      </c>
      <c r="J353" s="1">
        <v>-3.14</v>
      </c>
      <c r="K353" s="1">
        <v>-8.15</v>
      </c>
      <c r="L353" s="1">
        <f t="shared" si="1"/>
        <v>-13533.20335</v>
      </c>
      <c r="M353" s="1" t="str">
        <f t="shared" si="2"/>
        <v>ON SALE</v>
      </c>
      <c r="N353" s="1">
        <f t="shared" si="3"/>
        <v>38.54176549</v>
      </c>
      <c r="O353" s="1">
        <f t="shared" si="4"/>
        <v>38.57578803</v>
      </c>
      <c r="P353" s="4">
        <f t="shared" si="5"/>
        <v>-0.04410210264</v>
      </c>
    </row>
    <row r="354" ht="15.75" customHeight="1">
      <c r="A354" s="3">
        <v>41990.0</v>
      </c>
      <c r="B354" s="1">
        <v>2014.0</v>
      </c>
      <c r="C354" s="1">
        <v>12.0</v>
      </c>
      <c r="D354" s="1" t="s">
        <v>16</v>
      </c>
      <c r="E354" s="1">
        <v>148910.99836015864</v>
      </c>
      <c r="F354" s="1">
        <v>161137.52200304752</v>
      </c>
      <c r="G354" s="1">
        <v>3865.0</v>
      </c>
      <c r="H354" s="1">
        <v>38.53</v>
      </c>
      <c r="I354" s="1">
        <v>41.69</v>
      </c>
      <c r="J354" s="1">
        <v>-3.16</v>
      </c>
      <c r="K354" s="1">
        <v>-8.21</v>
      </c>
      <c r="L354" s="1">
        <f t="shared" si="1"/>
        <v>-12226.52364</v>
      </c>
      <c r="M354" s="1" t="str">
        <f t="shared" si="2"/>
        <v>ON SALE</v>
      </c>
      <c r="N354" s="1">
        <f t="shared" si="3"/>
        <v>38.52807202</v>
      </c>
      <c r="O354" s="1">
        <f t="shared" si="4"/>
        <v>38.57145639</v>
      </c>
      <c r="P354" s="4">
        <f t="shared" si="5"/>
        <v>-0.04404770646</v>
      </c>
    </row>
    <row r="355" ht="15.75" customHeight="1">
      <c r="A355" s="3">
        <v>41991.0</v>
      </c>
      <c r="B355" s="1">
        <v>2014.0</v>
      </c>
      <c r="C355" s="1">
        <v>12.0</v>
      </c>
      <c r="D355" s="1" t="s">
        <v>16</v>
      </c>
      <c r="E355" s="1">
        <v>202359.14289987122</v>
      </c>
      <c r="F355" s="1">
        <v>221435.768649636</v>
      </c>
      <c r="G355" s="1">
        <v>5288.0</v>
      </c>
      <c r="H355" s="1">
        <v>38.27</v>
      </c>
      <c r="I355" s="1">
        <v>41.88</v>
      </c>
      <c r="J355" s="1">
        <v>-3.61</v>
      </c>
      <c r="K355" s="1">
        <v>-9.43</v>
      </c>
      <c r="L355" s="1">
        <f t="shared" si="1"/>
        <v>-19076.62575</v>
      </c>
      <c r="M355" s="1" t="str">
        <f t="shared" si="2"/>
        <v>ON SALE</v>
      </c>
      <c r="N355" s="1">
        <f t="shared" si="3"/>
        <v>38.26761401</v>
      </c>
      <c r="O355" s="1">
        <f t="shared" si="4"/>
        <v>38.5675495</v>
      </c>
      <c r="P355" s="4">
        <f t="shared" si="5"/>
        <v>-0.04399800355</v>
      </c>
    </row>
    <row r="356" ht="15.75" customHeight="1">
      <c r="A356" s="3">
        <v>41992.0</v>
      </c>
      <c r="B356" s="1">
        <v>2014.0</v>
      </c>
      <c r="C356" s="1">
        <v>12.0</v>
      </c>
      <c r="D356" s="1" t="s">
        <v>16</v>
      </c>
      <c r="E356" s="1">
        <v>274343.6543452338</v>
      </c>
      <c r="F356" s="1">
        <v>299516.83776498266</v>
      </c>
      <c r="G356" s="1">
        <v>7141.0</v>
      </c>
      <c r="H356" s="1">
        <v>38.42</v>
      </c>
      <c r="I356" s="1">
        <v>41.94</v>
      </c>
      <c r="J356" s="1">
        <v>-3.53</v>
      </c>
      <c r="K356" s="1">
        <v>-9.18</v>
      </c>
      <c r="L356" s="1">
        <f t="shared" si="1"/>
        <v>-25173.18342</v>
      </c>
      <c r="M356" s="1" t="str">
        <f t="shared" si="2"/>
        <v>ON SALE</v>
      </c>
      <c r="N356" s="1">
        <f t="shared" si="3"/>
        <v>38.41810031</v>
      </c>
      <c r="O356" s="1">
        <f t="shared" si="4"/>
        <v>38.56187309</v>
      </c>
      <c r="P356" s="4">
        <f t="shared" si="5"/>
        <v>-0.04390862504</v>
      </c>
    </row>
    <row r="357" ht="15.75" customHeight="1">
      <c r="A357" s="3">
        <v>41993.0</v>
      </c>
      <c r="B357" s="1">
        <v>2014.0</v>
      </c>
      <c r="C357" s="1">
        <v>12.0</v>
      </c>
      <c r="D357" s="1" t="s">
        <v>16</v>
      </c>
      <c r="E357" s="1">
        <v>316167.07465857273</v>
      </c>
      <c r="F357" s="1">
        <v>346378.3047678482</v>
      </c>
      <c r="G357" s="1">
        <v>8268.0</v>
      </c>
      <c r="H357" s="1">
        <v>38.24</v>
      </c>
      <c r="I357" s="1">
        <v>41.89</v>
      </c>
      <c r="J357" s="1">
        <v>-3.65</v>
      </c>
      <c r="K357" s="1">
        <v>-9.56</v>
      </c>
      <c r="L357" s="1">
        <f t="shared" si="1"/>
        <v>-30211.23011</v>
      </c>
      <c r="M357" s="1" t="str">
        <f t="shared" si="2"/>
        <v>ON SALE</v>
      </c>
      <c r="N357" s="1">
        <f t="shared" si="3"/>
        <v>38.23984938</v>
      </c>
      <c r="O357" s="1">
        <f t="shared" si="4"/>
        <v>38.55401835</v>
      </c>
      <c r="P357" s="4">
        <f t="shared" si="5"/>
        <v>-0.0437930159</v>
      </c>
    </row>
    <row r="358" ht="15.75" customHeight="1">
      <c r="A358" s="3">
        <v>41994.0</v>
      </c>
      <c r="B358" s="1">
        <v>2014.0</v>
      </c>
      <c r="C358" s="1">
        <v>12.0</v>
      </c>
      <c r="D358" s="1" t="s">
        <v>16</v>
      </c>
      <c r="E358" s="1">
        <v>173833.40012841366</v>
      </c>
      <c r="F358" s="1">
        <v>190644.5015686917</v>
      </c>
      <c r="G358" s="1">
        <v>4541.0</v>
      </c>
      <c r="H358" s="1">
        <v>38.28</v>
      </c>
      <c r="I358" s="1">
        <v>41.98</v>
      </c>
      <c r="J358" s="1">
        <v>-3.7</v>
      </c>
      <c r="K358" s="1">
        <v>-9.67</v>
      </c>
      <c r="L358" s="1">
        <f t="shared" si="1"/>
        <v>-16811.10144</v>
      </c>
      <c r="M358" s="1" t="str">
        <f t="shared" si="2"/>
        <v>ON SALE</v>
      </c>
      <c r="N358" s="1">
        <f t="shared" si="3"/>
        <v>38.28086327</v>
      </c>
      <c r="O358" s="1">
        <f t="shared" si="4"/>
        <v>38.54501152</v>
      </c>
      <c r="P358" s="4">
        <f t="shared" si="5"/>
        <v>-0.04364848596</v>
      </c>
    </row>
    <row r="359" ht="15.75" customHeight="1">
      <c r="A359" s="3">
        <v>41995.0</v>
      </c>
      <c r="B359" s="1">
        <v>2014.0</v>
      </c>
      <c r="C359" s="1">
        <v>12.0</v>
      </c>
      <c r="D359" s="1" t="s">
        <v>16</v>
      </c>
      <c r="E359" s="1">
        <v>204565.08183541152</v>
      </c>
      <c r="F359" s="1">
        <v>210188.9094104479</v>
      </c>
      <c r="G359" s="1">
        <v>5014.0</v>
      </c>
      <c r="H359" s="1">
        <v>40.8</v>
      </c>
      <c r="I359" s="1">
        <v>41.92</v>
      </c>
      <c r="J359" s="1">
        <v>-1.12</v>
      </c>
      <c r="K359" s="1">
        <v>-2.75</v>
      </c>
      <c r="L359" s="1">
        <f t="shared" si="1"/>
        <v>-5623.827575</v>
      </c>
      <c r="M359" s="1" t="str">
        <f t="shared" si="2"/>
        <v>ON SALE</v>
      </c>
      <c r="N359" s="1">
        <f t="shared" si="3"/>
        <v>40.79877978</v>
      </c>
      <c r="O359" s="1">
        <f t="shared" si="4"/>
        <v>38.5399119</v>
      </c>
      <c r="P359" s="4">
        <f t="shared" si="5"/>
        <v>-0.04356690326</v>
      </c>
    </row>
    <row r="360" ht="15.75" customHeight="1">
      <c r="A360" s="3">
        <v>41996.0</v>
      </c>
      <c r="B360" s="1">
        <v>2014.0</v>
      </c>
      <c r="C360" s="1">
        <v>12.0</v>
      </c>
      <c r="D360" s="1" t="s">
        <v>16</v>
      </c>
      <c r="E360" s="1">
        <v>316394.73085730925</v>
      </c>
      <c r="F360" s="1">
        <v>326627.1384163756</v>
      </c>
      <c r="G360" s="1">
        <v>7778.0</v>
      </c>
      <c r="H360" s="1">
        <v>40.68</v>
      </c>
      <c r="I360" s="1">
        <v>41.99</v>
      </c>
      <c r="J360" s="1">
        <v>-1.32</v>
      </c>
      <c r="K360" s="1">
        <v>-3.23</v>
      </c>
      <c r="L360" s="1">
        <f t="shared" si="1"/>
        <v>-10232.40756</v>
      </c>
      <c r="M360" s="1" t="str">
        <f t="shared" si="2"/>
        <v>ON SALE</v>
      </c>
      <c r="N360" s="1">
        <f t="shared" si="3"/>
        <v>40.67816031</v>
      </c>
      <c r="O360" s="1">
        <f t="shared" si="4"/>
        <v>38.53436606</v>
      </c>
      <c r="P360" s="4">
        <f t="shared" si="5"/>
        <v>-0.04359604242</v>
      </c>
    </row>
    <row r="361" ht="15.75" customHeight="1">
      <c r="A361" s="3">
        <v>41997.0</v>
      </c>
      <c r="B361" s="1">
        <v>2014.0</v>
      </c>
      <c r="C361" s="1">
        <v>12.0</v>
      </c>
      <c r="D361" s="1" t="s">
        <v>16</v>
      </c>
      <c r="E361" s="1">
        <v>486230.3201936276</v>
      </c>
      <c r="F361" s="1">
        <v>495909.0895633959</v>
      </c>
      <c r="G361" s="1">
        <v>11809.0</v>
      </c>
      <c r="H361" s="1">
        <v>41.17</v>
      </c>
      <c r="I361" s="1">
        <v>41.99</v>
      </c>
      <c r="J361" s="1">
        <v>-0.82</v>
      </c>
      <c r="K361" s="1">
        <v>-1.99</v>
      </c>
      <c r="L361" s="1">
        <f t="shared" si="1"/>
        <v>-9678.76937</v>
      </c>
      <c r="M361" s="1" t="str">
        <f t="shared" si="2"/>
        <v>ON SALE</v>
      </c>
      <c r="N361" s="1">
        <f t="shared" si="3"/>
        <v>41.17455502</v>
      </c>
      <c r="O361" s="1">
        <f t="shared" si="4"/>
        <v>38.52553989</v>
      </c>
      <c r="P361" s="4">
        <f t="shared" si="5"/>
        <v>-0.04362768681</v>
      </c>
    </row>
    <row r="362" ht="15.75" customHeight="1">
      <c r="A362" s="3">
        <v>41998.0</v>
      </c>
      <c r="B362" s="1">
        <v>2014.0</v>
      </c>
      <c r="C362" s="1">
        <v>12.0</v>
      </c>
      <c r="D362" s="1" t="s">
        <v>16</v>
      </c>
      <c r="E362" s="1">
        <v>137686.5321006064</v>
      </c>
      <c r="F362" s="1">
        <v>140525.78674110342</v>
      </c>
      <c r="G362" s="1">
        <v>3344.0</v>
      </c>
      <c r="H362" s="1">
        <v>41.17</v>
      </c>
      <c r="I362" s="1">
        <v>42.02</v>
      </c>
      <c r="J362" s="1">
        <v>-0.85</v>
      </c>
      <c r="K362" s="1">
        <v>-2.06</v>
      </c>
      <c r="L362" s="1">
        <f t="shared" si="1"/>
        <v>-2839.25464</v>
      </c>
      <c r="M362" s="1" t="str">
        <f t="shared" si="2"/>
        <v>ON SALE</v>
      </c>
      <c r="N362" s="1">
        <f t="shared" si="3"/>
        <v>41.17420218</v>
      </c>
      <c r="O362" s="1">
        <f t="shared" si="4"/>
        <v>38.51205133</v>
      </c>
      <c r="P362" s="4">
        <f t="shared" si="5"/>
        <v>-0.04373062568</v>
      </c>
    </row>
    <row r="363" ht="15.75" customHeight="1">
      <c r="A363" s="3">
        <v>41999.0</v>
      </c>
      <c r="B363" s="1">
        <v>2014.0</v>
      </c>
      <c r="C363" s="1">
        <v>12.0</v>
      </c>
      <c r="D363" s="1" t="s">
        <v>16</v>
      </c>
      <c r="E363" s="1">
        <v>48102.962409030246</v>
      </c>
      <c r="F363" s="1">
        <v>49028.365072183806</v>
      </c>
      <c r="G363" s="1">
        <v>1169.0</v>
      </c>
      <c r="H363" s="1">
        <v>41.15</v>
      </c>
      <c r="I363" s="1">
        <v>41.94</v>
      </c>
      <c r="J363" s="1">
        <v>-0.79</v>
      </c>
      <c r="K363" s="1">
        <v>-1.92</v>
      </c>
      <c r="L363" s="1">
        <f t="shared" si="1"/>
        <v>-925.4026632</v>
      </c>
      <c r="M363" s="1" t="str">
        <f t="shared" si="2"/>
        <v>ON SALE</v>
      </c>
      <c r="N363" s="1">
        <f t="shared" si="3"/>
        <v>41.14881301</v>
      </c>
      <c r="O363" s="1">
        <f t="shared" si="4"/>
        <v>38.50818057</v>
      </c>
      <c r="P363" s="4">
        <f t="shared" si="5"/>
        <v>-0.04375905736</v>
      </c>
    </row>
    <row r="364" ht="15.75" customHeight="1">
      <c r="A364" s="3">
        <v>42000.0</v>
      </c>
      <c r="B364" s="1">
        <v>2014.0</v>
      </c>
      <c r="C364" s="1">
        <v>12.0</v>
      </c>
      <c r="D364" s="1" t="s">
        <v>16</v>
      </c>
      <c r="E364" s="1">
        <v>110162.13198254806</v>
      </c>
      <c r="F364" s="1">
        <v>112383.55924730633</v>
      </c>
      <c r="G364" s="1">
        <v>2676.0</v>
      </c>
      <c r="H364" s="1">
        <v>41.17</v>
      </c>
      <c r="I364" s="1">
        <v>42.0</v>
      </c>
      <c r="J364" s="1">
        <v>-0.83</v>
      </c>
      <c r="K364" s="1">
        <v>-2.02</v>
      </c>
      <c r="L364" s="1">
        <f t="shared" si="1"/>
        <v>-2221.427265</v>
      </c>
      <c r="M364" s="1" t="str">
        <f t="shared" si="2"/>
        <v>ON SALE</v>
      </c>
      <c r="N364" s="1">
        <f t="shared" si="3"/>
        <v>41.16671599</v>
      </c>
      <c r="O364" s="1">
        <f t="shared" si="4"/>
        <v>38.50685734</v>
      </c>
      <c r="P364" s="4">
        <f t="shared" si="5"/>
        <v>-0.0437696017</v>
      </c>
    </row>
    <row r="365" ht="15.75" customHeight="1">
      <c r="A365" s="3">
        <v>42001.0</v>
      </c>
      <c r="B365" s="1">
        <v>2014.0</v>
      </c>
      <c r="C365" s="1">
        <v>12.0</v>
      </c>
      <c r="D365" s="1" t="s">
        <v>16</v>
      </c>
      <c r="E365" s="1">
        <v>69051.33709342037</v>
      </c>
      <c r="F365" s="1">
        <v>70482.71780296908</v>
      </c>
      <c r="G365" s="1">
        <v>1677.0</v>
      </c>
      <c r="H365" s="1">
        <v>41.18</v>
      </c>
      <c r="I365" s="1">
        <v>42.03</v>
      </c>
      <c r="J365" s="1">
        <v>-0.85</v>
      </c>
      <c r="K365" s="1">
        <v>-2.07</v>
      </c>
      <c r="L365" s="1">
        <f t="shared" si="1"/>
        <v>-1431.38071</v>
      </c>
      <c r="M365" s="1" t="str">
        <f t="shared" si="2"/>
        <v>ON SALE</v>
      </c>
      <c r="N365" s="1">
        <f t="shared" si="3"/>
        <v>41.17551407</v>
      </c>
      <c r="O365" s="1">
        <f t="shared" si="4"/>
        <v>38.50377462</v>
      </c>
      <c r="P365" s="4">
        <f t="shared" si="5"/>
        <v>-0.04379286992</v>
      </c>
    </row>
    <row r="366" ht="15.75" customHeight="1">
      <c r="A366" s="3">
        <v>42002.0</v>
      </c>
      <c r="B366" s="1">
        <v>2014.0</v>
      </c>
      <c r="C366" s="1">
        <v>12.0</v>
      </c>
      <c r="D366" s="1" t="s">
        <v>16</v>
      </c>
      <c r="E366" s="1">
        <v>133307.36896282758</v>
      </c>
      <c r="F366" s="1">
        <v>136003.48252575178</v>
      </c>
      <c r="G366" s="1">
        <v>3237.0</v>
      </c>
      <c r="H366" s="1">
        <v>41.18</v>
      </c>
      <c r="I366" s="1">
        <v>42.02</v>
      </c>
      <c r="J366" s="1">
        <v>-0.83</v>
      </c>
      <c r="K366" s="1">
        <v>-2.02</v>
      </c>
      <c r="L366" s="1">
        <f t="shared" si="1"/>
        <v>-2696.113563</v>
      </c>
      <c r="M366" s="1" t="str">
        <f t="shared" si="2"/>
        <v>ON SALE</v>
      </c>
      <c r="N366" s="1">
        <f t="shared" si="3"/>
        <v>41.18238151</v>
      </c>
      <c r="O366" s="1">
        <f t="shared" si="4"/>
        <v>38.50182211</v>
      </c>
      <c r="P366" s="4">
        <f t="shared" si="5"/>
        <v>-0.04380712941</v>
      </c>
    </row>
    <row r="367" ht="15.75" customHeight="1">
      <c r="A367" s="3">
        <v>42003.0</v>
      </c>
      <c r="B367" s="1">
        <v>2014.0</v>
      </c>
      <c r="C367" s="1">
        <v>12.0</v>
      </c>
      <c r="D367" s="1" t="s">
        <v>16</v>
      </c>
      <c r="E367" s="1">
        <v>216389.50426885503</v>
      </c>
      <c r="F367" s="1">
        <v>235723.76475390818</v>
      </c>
      <c r="G367" s="1">
        <v>5607.0</v>
      </c>
      <c r="H367" s="1">
        <v>38.59</v>
      </c>
      <c r="I367" s="1">
        <v>42.04</v>
      </c>
      <c r="J367" s="1">
        <v>-3.45</v>
      </c>
      <c r="K367" s="1">
        <v>-8.93</v>
      </c>
      <c r="L367" s="1">
        <f t="shared" si="1"/>
        <v>-19334.26049</v>
      </c>
      <c r="M367" s="1" t="str">
        <f t="shared" si="2"/>
        <v>ON SALE</v>
      </c>
      <c r="N367" s="1">
        <f t="shared" si="3"/>
        <v>38.59274198</v>
      </c>
      <c r="O367" s="1">
        <f t="shared" si="4"/>
        <v>38.49806194</v>
      </c>
      <c r="P367" s="4">
        <f t="shared" si="5"/>
        <v>-0.04383531087</v>
      </c>
    </row>
    <row r="368" ht="15.75" customHeight="1">
      <c r="A368" s="3">
        <v>42004.0</v>
      </c>
      <c r="B368" s="1">
        <v>2014.0</v>
      </c>
      <c r="C368" s="1">
        <v>12.0</v>
      </c>
      <c r="D368" s="1" t="s">
        <v>16</v>
      </c>
      <c r="E368" s="1">
        <v>365055.31201272184</v>
      </c>
      <c r="F368" s="1">
        <v>398013.34833037213</v>
      </c>
      <c r="G368" s="1">
        <v>9464.0</v>
      </c>
      <c r="H368" s="1">
        <v>38.57</v>
      </c>
      <c r="I368" s="1">
        <v>42.06</v>
      </c>
      <c r="J368" s="1">
        <v>-3.48</v>
      </c>
      <c r="K368" s="1">
        <v>-9.03</v>
      </c>
      <c r="L368" s="1">
        <f t="shared" si="1"/>
        <v>-32958.03632</v>
      </c>
      <c r="M368" s="1" t="str">
        <f t="shared" si="2"/>
        <v>ON SALE</v>
      </c>
      <c r="N368" s="1">
        <f t="shared" si="3"/>
        <v>38.57304649</v>
      </c>
      <c r="O368" s="1">
        <f t="shared" si="4"/>
        <v>38.49148193</v>
      </c>
      <c r="P368" s="4">
        <f t="shared" si="5"/>
        <v>-0.04374685079</v>
      </c>
    </row>
    <row r="369" ht="15.75" customHeight="1">
      <c r="A369" s="3">
        <v>42005.0</v>
      </c>
      <c r="B369" s="1">
        <v>2015.0</v>
      </c>
      <c r="C369" s="1">
        <v>1.0</v>
      </c>
      <c r="D369" s="1" t="s">
        <v>17</v>
      </c>
      <c r="E369" s="1">
        <v>112161.41961675305</v>
      </c>
      <c r="F369" s="1">
        <v>122170.43168462774</v>
      </c>
      <c r="G369" s="1">
        <v>2905.0</v>
      </c>
      <c r="H369" s="1">
        <v>38.61</v>
      </c>
      <c r="I369" s="1">
        <v>42.06</v>
      </c>
      <c r="J369" s="1">
        <v>-3.45</v>
      </c>
      <c r="K369" s="1">
        <v>-8.92</v>
      </c>
      <c r="L369" s="1">
        <f t="shared" si="1"/>
        <v>-10009.01207</v>
      </c>
      <c r="M369" s="1" t="str">
        <f t="shared" si="2"/>
        <v>ON SALE</v>
      </c>
      <c r="N369" s="1">
        <f t="shared" si="3"/>
        <v>38.609783</v>
      </c>
      <c r="O369" s="1">
        <f t="shared" si="4"/>
        <v>38.48027428</v>
      </c>
      <c r="P369" s="4">
        <f t="shared" si="5"/>
        <v>-0.04359376501</v>
      </c>
    </row>
    <row r="370" ht="15.75" customHeight="1">
      <c r="A370" s="3">
        <v>42006.0</v>
      </c>
      <c r="B370" s="1">
        <v>2015.0</v>
      </c>
      <c r="C370" s="1">
        <v>1.0</v>
      </c>
      <c r="D370" s="1" t="s">
        <v>17</v>
      </c>
      <c r="E370" s="1">
        <v>271101.46167031274</v>
      </c>
      <c r="F370" s="1">
        <v>295019.46942959033</v>
      </c>
      <c r="G370" s="1">
        <v>7023.0</v>
      </c>
      <c r="H370" s="1">
        <v>38.6</v>
      </c>
      <c r="I370" s="1">
        <v>42.01</v>
      </c>
      <c r="J370" s="1">
        <v>-3.41</v>
      </c>
      <c r="K370" s="1">
        <v>-8.82</v>
      </c>
      <c r="L370" s="1">
        <f t="shared" si="1"/>
        <v>-23918.00776</v>
      </c>
      <c r="M370" s="1" t="str">
        <f t="shared" si="2"/>
        <v>ON SALE</v>
      </c>
      <c r="N370" s="1">
        <f t="shared" si="3"/>
        <v>38.60194528</v>
      </c>
      <c r="O370" s="1">
        <f t="shared" si="4"/>
        <v>38.47682018</v>
      </c>
      <c r="P370" s="4">
        <f t="shared" si="5"/>
        <v>-0.04354758472</v>
      </c>
    </row>
    <row r="371" ht="15.75" customHeight="1">
      <c r="A371" s="3">
        <v>42007.0</v>
      </c>
      <c r="B371" s="1">
        <v>2015.0</v>
      </c>
      <c r="C371" s="1">
        <v>1.0</v>
      </c>
      <c r="D371" s="1" t="s">
        <v>17</v>
      </c>
      <c r="E371" s="1">
        <v>245813.28831212397</v>
      </c>
      <c r="F371" s="1">
        <v>267734.7252553707</v>
      </c>
      <c r="G371" s="1">
        <v>6371.0</v>
      </c>
      <c r="H371" s="1">
        <v>38.58</v>
      </c>
      <c r="I371" s="1">
        <v>42.02</v>
      </c>
      <c r="J371" s="1">
        <v>-3.44</v>
      </c>
      <c r="K371" s="1">
        <v>-8.92</v>
      </c>
      <c r="L371" s="1">
        <f t="shared" si="1"/>
        <v>-21921.43694</v>
      </c>
      <c r="M371" s="1" t="str">
        <f t="shared" si="2"/>
        <v>ON SALE</v>
      </c>
      <c r="N371" s="1">
        <f t="shared" si="3"/>
        <v>38.58315623</v>
      </c>
      <c r="O371" s="1">
        <f t="shared" si="4"/>
        <v>38.46855354</v>
      </c>
      <c r="P371" s="4">
        <f t="shared" si="5"/>
        <v>-0.04343805864</v>
      </c>
    </row>
    <row r="372" ht="15.75" customHeight="1">
      <c r="A372" s="3">
        <v>42008.0</v>
      </c>
      <c r="B372" s="1">
        <v>2015.0</v>
      </c>
      <c r="C372" s="1">
        <v>1.0</v>
      </c>
      <c r="D372" s="1" t="s">
        <v>17</v>
      </c>
      <c r="E372" s="1">
        <v>178394.81199754868</v>
      </c>
      <c r="F372" s="1">
        <v>194427.4479735023</v>
      </c>
      <c r="G372" s="1">
        <v>4624.0</v>
      </c>
      <c r="H372" s="1">
        <v>38.58</v>
      </c>
      <c r="I372" s="1">
        <v>42.05</v>
      </c>
      <c r="J372" s="1">
        <v>-3.47</v>
      </c>
      <c r="K372" s="1">
        <v>-8.99</v>
      </c>
      <c r="L372" s="1">
        <f t="shared" si="1"/>
        <v>-16032.63598</v>
      </c>
      <c r="M372" s="1" t="str">
        <f t="shared" si="2"/>
        <v>ON SALE</v>
      </c>
      <c r="N372" s="1">
        <f t="shared" si="3"/>
        <v>38.58019291</v>
      </c>
      <c r="O372" s="1">
        <f t="shared" si="4"/>
        <v>38.46098598</v>
      </c>
      <c r="P372" s="4">
        <f t="shared" si="5"/>
        <v>-0.04333615876</v>
      </c>
    </row>
    <row r="373" ht="15.75" customHeight="1">
      <c r="A373" s="3">
        <v>42009.0</v>
      </c>
      <c r="B373" s="1">
        <v>2015.0</v>
      </c>
      <c r="C373" s="1">
        <v>1.0</v>
      </c>
      <c r="D373" s="1" t="s">
        <v>17</v>
      </c>
      <c r="E373" s="1">
        <v>220443.63148426503</v>
      </c>
      <c r="F373" s="1">
        <v>239988.02746038733</v>
      </c>
      <c r="G373" s="1">
        <v>5717.0</v>
      </c>
      <c r="H373" s="1">
        <v>38.56</v>
      </c>
      <c r="I373" s="1">
        <v>41.98</v>
      </c>
      <c r="J373" s="1">
        <v>-3.42</v>
      </c>
      <c r="K373" s="1">
        <v>-8.87</v>
      </c>
      <c r="L373" s="1">
        <f t="shared" si="1"/>
        <v>-19544.39598</v>
      </c>
      <c r="M373" s="1" t="str">
        <f t="shared" si="2"/>
        <v>ON SALE</v>
      </c>
      <c r="N373" s="1">
        <f t="shared" si="3"/>
        <v>38.55931983</v>
      </c>
      <c r="O373" s="1">
        <f t="shared" si="4"/>
        <v>38.45543699</v>
      </c>
      <c r="P373" s="4">
        <f t="shared" si="5"/>
        <v>-0.04326080058</v>
      </c>
    </row>
    <row r="374" ht="15.75" customHeight="1">
      <c r="A374" s="3">
        <v>42010.0</v>
      </c>
      <c r="B374" s="1">
        <v>2015.0</v>
      </c>
      <c r="C374" s="1">
        <v>1.0</v>
      </c>
      <c r="D374" s="1" t="s">
        <v>17</v>
      </c>
      <c r="E374" s="1">
        <v>181534.18867267863</v>
      </c>
      <c r="F374" s="1">
        <v>197328.9439108107</v>
      </c>
      <c r="G374" s="1">
        <v>4705.0</v>
      </c>
      <c r="H374" s="1">
        <v>38.58</v>
      </c>
      <c r="I374" s="1">
        <v>41.94</v>
      </c>
      <c r="J374" s="1">
        <v>-3.36</v>
      </c>
      <c r="K374" s="1">
        <v>-8.7</v>
      </c>
      <c r="L374" s="1">
        <f t="shared" si="1"/>
        <v>-15794.75524</v>
      </c>
      <c r="M374" s="1" t="str">
        <f t="shared" si="2"/>
        <v>ON SALE</v>
      </c>
      <c r="N374" s="1">
        <f t="shared" si="3"/>
        <v>38.58324945</v>
      </c>
      <c r="O374" s="1">
        <f t="shared" si="4"/>
        <v>38.44868576</v>
      </c>
      <c r="P374" s="4">
        <f t="shared" si="5"/>
        <v>-0.04316977287</v>
      </c>
    </row>
    <row r="375" ht="15.75" customHeight="1">
      <c r="A375" s="3">
        <v>42011.0</v>
      </c>
      <c r="B375" s="1">
        <v>2015.0</v>
      </c>
      <c r="C375" s="1">
        <v>1.0</v>
      </c>
      <c r="D375" s="1" t="s">
        <v>17</v>
      </c>
      <c r="E375" s="1">
        <v>83176.48139340024</v>
      </c>
      <c r="F375" s="1">
        <v>84728.83119663107</v>
      </c>
      <c r="G375" s="1">
        <v>2020.0</v>
      </c>
      <c r="H375" s="1">
        <v>41.18</v>
      </c>
      <c r="I375" s="1">
        <v>41.94</v>
      </c>
      <c r="J375" s="1">
        <v>-0.77</v>
      </c>
      <c r="K375" s="1">
        <v>-1.87</v>
      </c>
      <c r="L375" s="1">
        <f t="shared" si="1"/>
        <v>-1552.349803</v>
      </c>
      <c r="M375" s="1" t="str">
        <f t="shared" si="2"/>
        <v>ON SALE</v>
      </c>
      <c r="N375" s="1">
        <f t="shared" si="3"/>
        <v>41.17647594</v>
      </c>
      <c r="O375" s="1">
        <f t="shared" si="4"/>
        <v>38.44316972</v>
      </c>
      <c r="P375" s="4">
        <f t="shared" si="5"/>
        <v>-0.04309727028</v>
      </c>
    </row>
    <row r="376" ht="15.75" customHeight="1">
      <c r="A376" s="3">
        <v>42012.0</v>
      </c>
      <c r="B376" s="1">
        <v>2015.0</v>
      </c>
      <c r="C376" s="1">
        <v>1.0</v>
      </c>
      <c r="D376" s="1" t="s">
        <v>17</v>
      </c>
      <c r="E376" s="1">
        <v>76894.77934870537</v>
      </c>
      <c r="F376" s="1">
        <v>78468.09549968746</v>
      </c>
      <c r="G376" s="1">
        <v>1868.0</v>
      </c>
      <c r="H376" s="1">
        <v>41.16</v>
      </c>
      <c r="I376" s="1">
        <v>42.01</v>
      </c>
      <c r="J376" s="1">
        <v>-0.84</v>
      </c>
      <c r="K376" s="1">
        <v>-2.05</v>
      </c>
      <c r="L376" s="1">
        <f t="shared" si="1"/>
        <v>-1573.316151</v>
      </c>
      <c r="M376" s="1" t="str">
        <f t="shared" si="2"/>
        <v>ON SALE</v>
      </c>
      <c r="N376" s="1">
        <f t="shared" si="3"/>
        <v>41.16422877</v>
      </c>
      <c r="O376" s="1">
        <f t="shared" si="4"/>
        <v>38.44079298</v>
      </c>
      <c r="P376" s="4">
        <f t="shared" si="5"/>
        <v>-0.04311580026</v>
      </c>
    </row>
    <row r="377" ht="15.75" customHeight="1">
      <c r="A377" s="3">
        <v>42013.0</v>
      </c>
      <c r="B377" s="1">
        <v>2015.0</v>
      </c>
      <c r="C377" s="1">
        <v>1.0</v>
      </c>
      <c r="D377" s="1" t="s">
        <v>17</v>
      </c>
      <c r="E377" s="1">
        <v>123859.38795673757</v>
      </c>
      <c r="F377" s="1">
        <v>126444.14251828095</v>
      </c>
      <c r="G377" s="1">
        <v>3008.0</v>
      </c>
      <c r="H377" s="1">
        <v>41.18</v>
      </c>
      <c r="I377" s="1">
        <v>42.04</v>
      </c>
      <c r="J377" s="1">
        <v>-0.86</v>
      </c>
      <c r="K377" s="1">
        <v>-2.09</v>
      </c>
      <c r="L377" s="1">
        <f t="shared" si="1"/>
        <v>-2584.754562</v>
      </c>
      <c r="M377" s="1" t="str">
        <f t="shared" si="2"/>
        <v>ON SALE</v>
      </c>
      <c r="N377" s="1">
        <f t="shared" si="3"/>
        <v>41.17665823</v>
      </c>
      <c r="O377" s="1">
        <f t="shared" si="4"/>
        <v>38.43855357</v>
      </c>
      <c r="P377" s="4">
        <f t="shared" si="5"/>
        <v>-0.04313169485</v>
      </c>
    </row>
    <row r="378" ht="15.75" customHeight="1">
      <c r="A378" s="3">
        <v>42014.0</v>
      </c>
      <c r="B378" s="1">
        <v>2015.0</v>
      </c>
      <c r="C378" s="1">
        <v>1.0</v>
      </c>
      <c r="D378" s="1" t="s">
        <v>17</v>
      </c>
      <c r="E378" s="1">
        <v>120807.57415832733</v>
      </c>
      <c r="F378" s="1">
        <v>123392.80406778071</v>
      </c>
      <c r="G378" s="1">
        <v>2934.0</v>
      </c>
      <c r="H378" s="1">
        <v>41.18</v>
      </c>
      <c r="I378" s="1">
        <v>42.06</v>
      </c>
      <c r="J378" s="1">
        <v>-0.88</v>
      </c>
      <c r="K378" s="1">
        <v>-2.14</v>
      </c>
      <c r="L378" s="1">
        <f t="shared" si="1"/>
        <v>-2585.229909</v>
      </c>
      <c r="M378" s="1" t="str">
        <f t="shared" si="2"/>
        <v>ON SALE</v>
      </c>
      <c r="N378" s="1">
        <f t="shared" si="3"/>
        <v>41.17504232</v>
      </c>
      <c r="O378" s="1">
        <f t="shared" si="4"/>
        <v>38.43491175</v>
      </c>
      <c r="P378" s="4">
        <f t="shared" si="5"/>
        <v>-0.04315688284</v>
      </c>
    </row>
    <row r="379" ht="15.75" customHeight="1">
      <c r="A379" s="3">
        <v>42015.0</v>
      </c>
      <c r="B379" s="1">
        <v>2015.0</v>
      </c>
      <c r="C379" s="1">
        <v>1.0</v>
      </c>
      <c r="D379" s="1" t="s">
        <v>17</v>
      </c>
      <c r="E379" s="1">
        <v>69597.36734933038</v>
      </c>
      <c r="F379" s="1">
        <v>71051.36350293276</v>
      </c>
      <c r="G379" s="1">
        <v>1690.0</v>
      </c>
      <c r="H379" s="1">
        <v>41.18</v>
      </c>
      <c r="I379" s="1">
        <v>42.04</v>
      </c>
      <c r="J379" s="1">
        <v>-0.86</v>
      </c>
      <c r="K379" s="1">
        <v>-2.09</v>
      </c>
      <c r="L379" s="1">
        <f t="shared" si="1"/>
        <v>-1453.996154</v>
      </c>
      <c r="M379" s="1" t="str">
        <f t="shared" si="2"/>
        <v>ON SALE</v>
      </c>
      <c r="N379" s="1">
        <f t="shared" si="3"/>
        <v>41.18187417</v>
      </c>
      <c r="O379" s="1">
        <f t="shared" si="4"/>
        <v>38.43133242</v>
      </c>
      <c r="P379" s="4">
        <f t="shared" si="5"/>
        <v>-0.04318091846</v>
      </c>
    </row>
    <row r="380" ht="15.75" customHeight="1">
      <c r="A380" s="3">
        <v>42016.0</v>
      </c>
      <c r="B380" s="1">
        <v>2015.0</v>
      </c>
      <c r="C380" s="1">
        <v>1.0</v>
      </c>
      <c r="D380" s="1" t="s">
        <v>17</v>
      </c>
      <c r="E380" s="1">
        <v>84738.29441126013</v>
      </c>
      <c r="F380" s="1">
        <v>86467.53775028168</v>
      </c>
      <c r="G380" s="1">
        <v>2058.0</v>
      </c>
      <c r="H380" s="1">
        <v>41.18</v>
      </c>
      <c r="I380" s="1">
        <v>42.02</v>
      </c>
      <c r="J380" s="1">
        <v>-0.84</v>
      </c>
      <c r="K380" s="1">
        <v>-2.04</v>
      </c>
      <c r="L380" s="1">
        <f t="shared" si="1"/>
        <v>-1729.243339</v>
      </c>
      <c r="M380" s="1" t="str">
        <f t="shared" si="2"/>
        <v>ON SALE</v>
      </c>
      <c r="N380" s="1">
        <f t="shared" si="3"/>
        <v>41.17507017</v>
      </c>
      <c r="O380" s="1">
        <f t="shared" si="4"/>
        <v>38.42927544</v>
      </c>
      <c r="P380" s="4">
        <f t="shared" si="5"/>
        <v>-0.04319511306</v>
      </c>
    </row>
    <row r="381" ht="15.75" customHeight="1">
      <c r="A381" s="3">
        <v>42017.0</v>
      </c>
      <c r="B381" s="1">
        <v>2015.0</v>
      </c>
      <c r="C381" s="1">
        <v>1.0</v>
      </c>
      <c r="D381" s="1" t="s">
        <v>17</v>
      </c>
      <c r="E381" s="1">
        <v>64653.972138140365</v>
      </c>
      <c r="F381" s="1">
        <v>65980.42208985981</v>
      </c>
      <c r="G381" s="1">
        <v>1570.0</v>
      </c>
      <c r="H381" s="1">
        <v>41.18</v>
      </c>
      <c r="I381" s="1">
        <v>42.03</v>
      </c>
      <c r="J381" s="1">
        <v>-0.84</v>
      </c>
      <c r="K381" s="1">
        <v>-2.05</v>
      </c>
      <c r="L381" s="1">
        <f t="shared" si="1"/>
        <v>-1326.449952</v>
      </c>
      <c r="M381" s="1" t="str">
        <f t="shared" si="2"/>
        <v>ON SALE</v>
      </c>
      <c r="N381" s="1">
        <f t="shared" si="3"/>
        <v>41.18087397</v>
      </c>
      <c r="O381" s="1">
        <f t="shared" si="4"/>
        <v>38.42678606</v>
      </c>
      <c r="P381" s="4">
        <f t="shared" si="5"/>
        <v>-0.04321279622</v>
      </c>
    </row>
    <row r="382" ht="15.75" customHeight="1">
      <c r="A382" s="3">
        <v>42018.0</v>
      </c>
      <c r="B382" s="1">
        <v>2015.0</v>
      </c>
      <c r="C382" s="1">
        <v>1.0</v>
      </c>
      <c r="D382" s="1" t="s">
        <v>17</v>
      </c>
      <c r="E382" s="1">
        <v>59553.38603102025</v>
      </c>
      <c r="F382" s="1">
        <v>60703.3560287776</v>
      </c>
      <c r="G382" s="1">
        <v>1446.0</v>
      </c>
      <c r="H382" s="1">
        <v>41.18</v>
      </c>
      <c r="I382" s="1">
        <v>41.98</v>
      </c>
      <c r="J382" s="1">
        <v>-0.8</v>
      </c>
      <c r="K382" s="1">
        <v>-1.93</v>
      </c>
      <c r="L382" s="1">
        <f t="shared" si="1"/>
        <v>-1149.969998</v>
      </c>
      <c r="M382" s="1" t="str">
        <f t="shared" si="2"/>
        <v>ON SALE</v>
      </c>
      <c r="N382" s="1">
        <f t="shared" si="3"/>
        <v>41.18491427</v>
      </c>
      <c r="O382" s="1">
        <f t="shared" si="4"/>
        <v>38.42487912</v>
      </c>
      <c r="P382" s="4">
        <f t="shared" si="5"/>
        <v>-0.04322624192</v>
      </c>
    </row>
    <row r="383" ht="15.75" customHeight="1">
      <c r="A383" s="3">
        <v>42019.0</v>
      </c>
      <c r="B383" s="1">
        <v>2015.0</v>
      </c>
      <c r="C383" s="1">
        <v>1.0</v>
      </c>
      <c r="D383" s="1" t="s">
        <v>17</v>
      </c>
      <c r="E383" s="1">
        <v>79080.75695773037</v>
      </c>
      <c r="F383" s="1">
        <v>80337.74831217455</v>
      </c>
      <c r="G383" s="1">
        <v>1921.0</v>
      </c>
      <c r="H383" s="1">
        <v>41.17</v>
      </c>
      <c r="I383" s="1">
        <v>41.82</v>
      </c>
      <c r="J383" s="1">
        <v>-0.65</v>
      </c>
      <c r="K383" s="1">
        <v>-1.59</v>
      </c>
      <c r="L383" s="1">
        <f t="shared" si="1"/>
        <v>-1256.991354</v>
      </c>
      <c r="M383" s="1" t="str">
        <f t="shared" si="2"/>
        <v>ON SALE</v>
      </c>
      <c r="N383" s="1">
        <f t="shared" si="3"/>
        <v>41.16645339</v>
      </c>
      <c r="O383" s="1">
        <f t="shared" si="4"/>
        <v>38.42314324</v>
      </c>
      <c r="P383" s="4">
        <f t="shared" si="5"/>
        <v>-0.04323929956</v>
      </c>
    </row>
    <row r="384" ht="15.75" customHeight="1">
      <c r="A384" s="3">
        <v>42020.0</v>
      </c>
      <c r="B384" s="1">
        <v>2015.0</v>
      </c>
      <c r="C384" s="1">
        <v>1.0</v>
      </c>
      <c r="D384" s="1" t="s">
        <v>17</v>
      </c>
      <c r="E384" s="1">
        <v>149444.05678745394</v>
      </c>
      <c r="F384" s="1">
        <v>152030.9864805352</v>
      </c>
      <c r="G384" s="1">
        <v>3629.0</v>
      </c>
      <c r="H384" s="1">
        <v>41.18</v>
      </c>
      <c r="I384" s="1">
        <v>41.89</v>
      </c>
      <c r="J384" s="1">
        <v>-0.71</v>
      </c>
      <c r="K384" s="1">
        <v>-1.73</v>
      </c>
      <c r="L384" s="1">
        <f t="shared" si="1"/>
        <v>-2586.929693</v>
      </c>
      <c r="M384" s="1" t="str">
        <f t="shared" si="2"/>
        <v>ON SALE</v>
      </c>
      <c r="N384" s="1">
        <f t="shared" si="3"/>
        <v>41.18050614</v>
      </c>
      <c r="O384" s="1">
        <f t="shared" si="4"/>
        <v>38.42093798</v>
      </c>
      <c r="P384" s="4">
        <f t="shared" si="5"/>
        <v>-0.04325913836</v>
      </c>
    </row>
    <row r="385" ht="15.75" customHeight="1">
      <c r="A385" s="3">
        <v>42021.0</v>
      </c>
      <c r="B385" s="1">
        <v>2015.0</v>
      </c>
      <c r="C385" s="1">
        <v>1.0</v>
      </c>
      <c r="D385" s="1" t="s">
        <v>17</v>
      </c>
      <c r="E385" s="1">
        <v>170624.07993589152</v>
      </c>
      <c r="F385" s="1">
        <v>173547.02711004243</v>
      </c>
      <c r="G385" s="1">
        <v>4144.0</v>
      </c>
      <c r="H385" s="1">
        <v>41.17</v>
      </c>
      <c r="I385" s="1">
        <v>41.88</v>
      </c>
      <c r="J385" s="1">
        <v>-0.71</v>
      </c>
      <c r="K385" s="1">
        <v>-1.71</v>
      </c>
      <c r="L385" s="1">
        <f t="shared" si="1"/>
        <v>-2922.947174</v>
      </c>
      <c r="M385" s="1" t="str">
        <f t="shared" si="2"/>
        <v>ON SALE</v>
      </c>
      <c r="N385" s="1">
        <f t="shared" si="3"/>
        <v>41.17376446</v>
      </c>
      <c r="O385" s="1">
        <f t="shared" si="4"/>
        <v>38.41667507</v>
      </c>
      <c r="P385" s="4">
        <f t="shared" si="5"/>
        <v>-0.0432947646</v>
      </c>
    </row>
    <row r="386" ht="15.75" customHeight="1">
      <c r="A386" s="3">
        <v>42022.0</v>
      </c>
      <c r="B386" s="1">
        <v>2015.0</v>
      </c>
      <c r="C386" s="1">
        <v>1.0</v>
      </c>
      <c r="D386" s="1" t="s">
        <v>17</v>
      </c>
      <c r="E386" s="1">
        <v>74744.28314926049</v>
      </c>
      <c r="F386" s="1">
        <v>76003.92825421382</v>
      </c>
      <c r="G386" s="1">
        <v>1815.0</v>
      </c>
      <c r="H386" s="1">
        <v>41.18</v>
      </c>
      <c r="I386" s="1">
        <v>41.88</v>
      </c>
      <c r="J386" s="1">
        <v>-0.69</v>
      </c>
      <c r="K386" s="1">
        <v>-1.69</v>
      </c>
      <c r="L386" s="1">
        <f t="shared" si="1"/>
        <v>-1259.645105</v>
      </c>
      <c r="M386" s="1" t="str">
        <f t="shared" si="2"/>
        <v>ON SALE</v>
      </c>
      <c r="N386" s="1">
        <f t="shared" si="3"/>
        <v>41.18142322</v>
      </c>
      <c r="O386" s="1">
        <f t="shared" si="4"/>
        <v>38.41181438</v>
      </c>
      <c r="P386" s="4">
        <f t="shared" si="5"/>
        <v>-0.04333584149</v>
      </c>
    </row>
    <row r="387" ht="15.75" customHeight="1">
      <c r="A387" s="3">
        <v>42023.0</v>
      </c>
      <c r="B387" s="1">
        <v>2015.0</v>
      </c>
      <c r="C387" s="1">
        <v>1.0</v>
      </c>
      <c r="D387" s="1" t="s">
        <v>17</v>
      </c>
      <c r="E387" s="1">
        <v>90144.16140148976</v>
      </c>
      <c r="F387" s="1">
        <v>91110.9693479948</v>
      </c>
      <c r="G387" s="1">
        <v>2189.0</v>
      </c>
      <c r="H387" s="1">
        <v>41.18</v>
      </c>
      <c r="I387" s="1">
        <v>41.62</v>
      </c>
      <c r="J387" s="1">
        <v>-0.44</v>
      </c>
      <c r="K387" s="1">
        <v>-1.07</v>
      </c>
      <c r="L387" s="1">
        <f t="shared" si="1"/>
        <v>-966.8079465</v>
      </c>
      <c r="M387" s="1" t="str">
        <f t="shared" si="2"/>
        <v>ON SALE</v>
      </c>
      <c r="N387" s="1">
        <f t="shared" si="3"/>
        <v>41.18052143</v>
      </c>
      <c r="O387" s="1">
        <f t="shared" si="4"/>
        <v>38.40968344</v>
      </c>
      <c r="P387" s="4">
        <f t="shared" si="5"/>
        <v>-0.04335406791</v>
      </c>
    </row>
    <row r="388" ht="15.75" customHeight="1">
      <c r="A388" s="3">
        <v>42024.0</v>
      </c>
      <c r="B388" s="1">
        <v>2015.0</v>
      </c>
      <c r="C388" s="1">
        <v>1.0</v>
      </c>
      <c r="D388" s="1" t="s">
        <v>17</v>
      </c>
      <c r="E388" s="1">
        <v>97826.80880097904</v>
      </c>
      <c r="F388" s="1">
        <v>99134.30698859354</v>
      </c>
      <c r="G388" s="1">
        <v>2376.0</v>
      </c>
      <c r="H388" s="1">
        <v>41.17</v>
      </c>
      <c r="I388" s="1">
        <v>41.72</v>
      </c>
      <c r="J388" s="1">
        <v>-0.55</v>
      </c>
      <c r="K388" s="1">
        <v>-1.34</v>
      </c>
      <c r="L388" s="1">
        <f t="shared" si="1"/>
        <v>-1307.498188</v>
      </c>
      <c r="M388" s="1" t="str">
        <f t="shared" si="2"/>
        <v>ON SALE</v>
      </c>
      <c r="N388" s="1">
        <f t="shared" si="3"/>
        <v>41.17289933</v>
      </c>
      <c r="O388" s="1">
        <f t="shared" si="4"/>
        <v>38.40729797</v>
      </c>
      <c r="P388" s="4">
        <f t="shared" si="5"/>
        <v>-0.04338117329</v>
      </c>
    </row>
    <row r="389" ht="15.75" customHeight="1">
      <c r="A389" s="3">
        <v>42025.0</v>
      </c>
      <c r="B389" s="1">
        <v>2015.0</v>
      </c>
      <c r="C389" s="1">
        <v>1.0</v>
      </c>
      <c r="D389" s="1" t="s">
        <v>17</v>
      </c>
      <c r="E389" s="1">
        <v>62795.97914592037</v>
      </c>
      <c r="F389" s="1">
        <v>64144.08887524592</v>
      </c>
      <c r="G389" s="1">
        <v>1525.0</v>
      </c>
      <c r="H389" s="1">
        <v>41.18</v>
      </c>
      <c r="I389" s="1">
        <v>42.06</v>
      </c>
      <c r="J389" s="1">
        <v>-0.88</v>
      </c>
      <c r="K389" s="1">
        <v>-2.15</v>
      </c>
      <c r="L389" s="1">
        <f t="shared" si="1"/>
        <v>-1348.109729</v>
      </c>
      <c r="M389" s="1" t="str">
        <f t="shared" si="2"/>
        <v>ON SALE</v>
      </c>
      <c r="N389" s="1">
        <f t="shared" si="3"/>
        <v>41.17769124</v>
      </c>
      <c r="O389" s="1">
        <f t="shared" si="4"/>
        <v>38.40462322</v>
      </c>
      <c r="P389" s="4">
        <f t="shared" si="5"/>
        <v>-0.04340825734</v>
      </c>
    </row>
    <row r="390" ht="15.75" customHeight="1">
      <c r="A390" s="3">
        <v>42026.0</v>
      </c>
      <c r="B390" s="1">
        <v>2015.0</v>
      </c>
      <c r="C390" s="1">
        <v>1.0</v>
      </c>
      <c r="D390" s="1" t="s">
        <v>17</v>
      </c>
      <c r="E390" s="1">
        <v>66550.98982708037</v>
      </c>
      <c r="F390" s="1">
        <v>67952.1505548415</v>
      </c>
      <c r="G390" s="1">
        <v>1616.0</v>
      </c>
      <c r="H390" s="1">
        <v>41.18</v>
      </c>
      <c r="I390" s="1">
        <v>42.05</v>
      </c>
      <c r="J390" s="1">
        <v>-0.87</v>
      </c>
      <c r="K390" s="1">
        <v>-2.11</v>
      </c>
      <c r="L390" s="1">
        <f t="shared" si="1"/>
        <v>-1401.160728</v>
      </c>
      <c r="M390" s="1" t="str">
        <f t="shared" si="2"/>
        <v>ON SALE</v>
      </c>
      <c r="N390" s="1">
        <f t="shared" si="3"/>
        <v>41.18254321</v>
      </c>
      <c r="O390" s="1">
        <f t="shared" si="4"/>
        <v>38.40272885</v>
      </c>
      <c r="P390" s="4">
        <f t="shared" si="5"/>
        <v>-0.04342097274</v>
      </c>
    </row>
    <row r="391" ht="15.75" customHeight="1">
      <c r="A391" s="3">
        <v>42027.0</v>
      </c>
      <c r="B391" s="1">
        <v>2015.0</v>
      </c>
      <c r="C391" s="1">
        <v>1.0</v>
      </c>
      <c r="D391" s="1" t="s">
        <v>17</v>
      </c>
      <c r="E391" s="1">
        <v>154670.89070075392</v>
      </c>
      <c r="F391" s="1">
        <v>158031.79104317204</v>
      </c>
      <c r="G391" s="1">
        <v>3757.0</v>
      </c>
      <c r="H391" s="1">
        <v>41.17</v>
      </c>
      <c r="I391" s="1">
        <v>42.06</v>
      </c>
      <c r="J391" s="1">
        <v>-0.89</v>
      </c>
      <c r="K391" s="1">
        <v>-2.17</v>
      </c>
      <c r="L391" s="1">
        <f t="shared" si="1"/>
        <v>-3360.900342</v>
      </c>
      <c r="M391" s="1" t="str">
        <f t="shared" si="2"/>
        <v>ON SALE</v>
      </c>
      <c r="N391" s="1">
        <f t="shared" si="3"/>
        <v>41.16872257</v>
      </c>
      <c r="O391" s="1">
        <f t="shared" si="4"/>
        <v>38.40072594</v>
      </c>
      <c r="P391" s="4">
        <f t="shared" si="5"/>
        <v>-0.04343471911</v>
      </c>
    </row>
    <row r="392" ht="15.75" customHeight="1">
      <c r="A392" s="3">
        <v>42028.0</v>
      </c>
      <c r="B392" s="1">
        <v>2015.0</v>
      </c>
      <c r="C392" s="1">
        <v>1.0</v>
      </c>
      <c r="D392" s="1" t="s">
        <v>17</v>
      </c>
      <c r="E392" s="1">
        <v>158722.10562536394</v>
      </c>
      <c r="F392" s="1">
        <v>162082.41843851437</v>
      </c>
      <c r="G392" s="1">
        <v>3855.0</v>
      </c>
      <c r="H392" s="1">
        <v>41.17</v>
      </c>
      <c r="I392" s="1">
        <v>42.04</v>
      </c>
      <c r="J392" s="1">
        <v>-0.87</v>
      </c>
      <c r="K392" s="1">
        <v>-2.12</v>
      </c>
      <c r="L392" s="1">
        <f t="shared" si="1"/>
        <v>-3360.312813</v>
      </c>
      <c r="M392" s="1" t="str">
        <f t="shared" si="2"/>
        <v>ON SALE</v>
      </c>
      <c r="N392" s="1">
        <f t="shared" si="3"/>
        <v>41.17304945</v>
      </c>
      <c r="O392" s="1">
        <f t="shared" si="4"/>
        <v>38.39604341</v>
      </c>
      <c r="P392" s="4">
        <f t="shared" si="5"/>
        <v>-0.04346576624</v>
      </c>
    </row>
    <row r="393" ht="15.75" customHeight="1">
      <c r="A393" s="3">
        <v>42029.0</v>
      </c>
      <c r="B393" s="1">
        <v>2015.0</v>
      </c>
      <c r="C393" s="1">
        <v>1.0</v>
      </c>
      <c r="D393" s="1" t="s">
        <v>17</v>
      </c>
      <c r="E393" s="1">
        <v>78092.27692203049</v>
      </c>
      <c r="F393" s="1">
        <v>79795.0431031607</v>
      </c>
      <c r="G393" s="1">
        <v>1897.0</v>
      </c>
      <c r="H393" s="1">
        <v>41.17</v>
      </c>
      <c r="I393" s="1">
        <v>42.06</v>
      </c>
      <c r="J393" s="1">
        <v>-0.9</v>
      </c>
      <c r="K393" s="1">
        <v>-2.18</v>
      </c>
      <c r="L393" s="1">
        <f t="shared" si="1"/>
        <v>-1702.766181</v>
      </c>
      <c r="M393" s="1" t="str">
        <f t="shared" si="2"/>
        <v>ON SALE</v>
      </c>
      <c r="N393" s="1">
        <f t="shared" si="3"/>
        <v>41.16619764</v>
      </c>
      <c r="O393" s="1">
        <f t="shared" si="4"/>
        <v>38.39125066</v>
      </c>
      <c r="P393" s="4">
        <f t="shared" si="5"/>
        <v>-0.04349853978</v>
      </c>
    </row>
    <row r="394" ht="15.75" customHeight="1">
      <c r="A394" s="3">
        <v>42030.0</v>
      </c>
      <c r="B394" s="1">
        <v>2015.0</v>
      </c>
      <c r="C394" s="1">
        <v>1.0</v>
      </c>
      <c r="D394" s="1" t="s">
        <v>17</v>
      </c>
      <c r="E394" s="1">
        <v>91830.40204377988</v>
      </c>
      <c r="F394" s="1">
        <v>93808.08674687239</v>
      </c>
      <c r="G394" s="1">
        <v>2230.0</v>
      </c>
      <c r="H394" s="1">
        <v>41.18</v>
      </c>
      <c r="I394" s="1">
        <v>42.07</v>
      </c>
      <c r="J394" s="1">
        <v>-0.89</v>
      </c>
      <c r="K394" s="1">
        <v>-2.15</v>
      </c>
      <c r="L394" s="1">
        <f t="shared" si="1"/>
        <v>-1977.684703</v>
      </c>
      <c r="M394" s="1" t="str">
        <f t="shared" si="2"/>
        <v>ON SALE</v>
      </c>
      <c r="N394" s="1">
        <f t="shared" si="3"/>
        <v>41.17955249</v>
      </c>
      <c r="O394" s="1">
        <f t="shared" si="4"/>
        <v>38.38887523</v>
      </c>
      <c r="P394" s="4">
        <f t="shared" si="5"/>
        <v>-0.04351424145</v>
      </c>
    </row>
    <row r="395" ht="15.75" customHeight="1">
      <c r="A395" s="3">
        <v>42031.0</v>
      </c>
      <c r="B395" s="1">
        <v>2015.0</v>
      </c>
      <c r="C395" s="1">
        <v>1.0</v>
      </c>
      <c r="D395" s="1" t="s">
        <v>17</v>
      </c>
      <c r="E395" s="1">
        <v>76992.93568321048</v>
      </c>
      <c r="F395" s="1">
        <v>78614.45775337583</v>
      </c>
      <c r="G395" s="1">
        <v>1870.0</v>
      </c>
      <c r="H395" s="1">
        <v>41.17</v>
      </c>
      <c r="I395" s="1">
        <v>42.04</v>
      </c>
      <c r="J395" s="1">
        <v>-0.87</v>
      </c>
      <c r="K395" s="1">
        <v>-2.11</v>
      </c>
      <c r="L395" s="1">
        <f t="shared" si="1"/>
        <v>-1621.52207</v>
      </c>
      <c r="M395" s="1" t="str">
        <f t="shared" si="2"/>
        <v>ON SALE</v>
      </c>
      <c r="N395" s="1">
        <f t="shared" si="3"/>
        <v>41.17269288</v>
      </c>
      <c r="O395" s="1">
        <f t="shared" si="4"/>
        <v>38.38607692</v>
      </c>
      <c r="P395" s="4">
        <f t="shared" si="5"/>
        <v>-0.043532963</v>
      </c>
    </row>
    <row r="396" ht="15.75" customHeight="1">
      <c r="A396" s="3">
        <v>42032.0</v>
      </c>
      <c r="B396" s="1">
        <v>2015.0</v>
      </c>
      <c r="C396" s="1">
        <v>1.0</v>
      </c>
      <c r="D396" s="1" t="s">
        <v>17</v>
      </c>
      <c r="E396" s="1">
        <v>59897.71587994037</v>
      </c>
      <c r="F396" s="1">
        <v>61194.180255889565</v>
      </c>
      <c r="G396" s="1">
        <v>1455.0</v>
      </c>
      <c r="H396" s="1">
        <v>41.17</v>
      </c>
      <c r="I396" s="1">
        <v>42.06</v>
      </c>
      <c r="J396" s="1">
        <v>-0.89</v>
      </c>
      <c r="K396" s="1">
        <v>-2.16</v>
      </c>
      <c r="L396" s="1">
        <f t="shared" si="1"/>
        <v>-1296.464376</v>
      </c>
      <c r="M396" s="1" t="str">
        <f t="shared" si="2"/>
        <v>ON SALE</v>
      </c>
      <c r="N396" s="1">
        <f t="shared" si="3"/>
        <v>41.16681504</v>
      </c>
      <c r="O396" s="1">
        <f t="shared" si="4"/>
        <v>38.38374404</v>
      </c>
      <c r="P396" s="4">
        <f t="shared" si="5"/>
        <v>-0.04354902415</v>
      </c>
    </row>
    <row r="397" ht="15.75" customHeight="1">
      <c r="A397" s="3">
        <v>42033.0</v>
      </c>
      <c r="B397" s="1">
        <v>2015.0</v>
      </c>
      <c r="C397" s="1">
        <v>1.0</v>
      </c>
      <c r="D397" s="1" t="s">
        <v>17</v>
      </c>
      <c r="E397" s="1">
        <v>57310.19404232036</v>
      </c>
      <c r="F397" s="1">
        <v>58531.41098518647</v>
      </c>
      <c r="G397" s="1">
        <v>1392.0</v>
      </c>
      <c r="H397" s="1">
        <v>41.17</v>
      </c>
      <c r="I397" s="1">
        <v>42.05</v>
      </c>
      <c r="J397" s="1">
        <v>-0.88</v>
      </c>
      <c r="K397" s="1">
        <v>-2.13</v>
      </c>
      <c r="L397" s="1">
        <f t="shared" si="1"/>
        <v>-1221.216943</v>
      </c>
      <c r="M397" s="1" t="str">
        <f t="shared" si="2"/>
        <v>ON SALE</v>
      </c>
      <c r="N397" s="1">
        <f t="shared" si="3"/>
        <v>41.17111641</v>
      </c>
      <c r="O397" s="1">
        <f t="shared" si="4"/>
        <v>38.38191786</v>
      </c>
      <c r="P397" s="4">
        <f t="shared" si="5"/>
        <v>-0.04356121015</v>
      </c>
    </row>
    <row r="398" ht="15.75" customHeight="1">
      <c r="A398" s="3">
        <v>42034.0</v>
      </c>
      <c r="B398" s="1">
        <v>2015.0</v>
      </c>
      <c r="C398" s="1">
        <v>1.0</v>
      </c>
      <c r="D398" s="1" t="s">
        <v>17</v>
      </c>
      <c r="E398" s="1">
        <v>134540.21446573758</v>
      </c>
      <c r="F398" s="1">
        <v>137221.53747357725</v>
      </c>
      <c r="G398" s="1">
        <v>3268.0</v>
      </c>
      <c r="H398" s="1">
        <v>41.17</v>
      </c>
      <c r="I398" s="1">
        <v>41.99</v>
      </c>
      <c r="J398" s="1">
        <v>-0.82</v>
      </c>
      <c r="K398" s="1">
        <v>-1.99</v>
      </c>
      <c r="L398" s="1">
        <f t="shared" si="1"/>
        <v>-2681.323008</v>
      </c>
      <c r="M398" s="1" t="str">
        <f t="shared" si="2"/>
        <v>ON SALE</v>
      </c>
      <c r="N398" s="1">
        <f t="shared" si="3"/>
        <v>41.16897627</v>
      </c>
      <c r="O398" s="1">
        <f t="shared" si="4"/>
        <v>38.38017353</v>
      </c>
      <c r="P398" s="4">
        <f t="shared" si="5"/>
        <v>-0.04357306123</v>
      </c>
    </row>
    <row r="399" ht="15.75" customHeight="1">
      <c r="A399" s="3">
        <v>42035.0</v>
      </c>
      <c r="B399" s="1">
        <v>2015.0</v>
      </c>
      <c r="C399" s="1">
        <v>1.0</v>
      </c>
      <c r="D399" s="1" t="s">
        <v>17</v>
      </c>
      <c r="E399" s="1">
        <v>200193.61199916032</v>
      </c>
      <c r="F399" s="1">
        <v>203814.73638908495</v>
      </c>
      <c r="G399" s="1">
        <v>4862.0</v>
      </c>
      <c r="H399" s="1">
        <v>41.18</v>
      </c>
      <c r="I399" s="1">
        <v>41.92</v>
      </c>
      <c r="J399" s="1">
        <v>-0.74</v>
      </c>
      <c r="K399" s="1">
        <v>-1.81</v>
      </c>
      <c r="L399" s="1">
        <f t="shared" si="1"/>
        <v>-3621.12439</v>
      </c>
      <c r="M399" s="1" t="str">
        <f t="shared" si="2"/>
        <v>ON SALE</v>
      </c>
      <c r="N399" s="1">
        <f t="shared" si="3"/>
        <v>41.17515673</v>
      </c>
      <c r="O399" s="1">
        <f t="shared" si="4"/>
        <v>38.3761378</v>
      </c>
      <c r="P399" s="4">
        <f t="shared" si="5"/>
        <v>-0.04360265898</v>
      </c>
    </row>
    <row r="400" ht="15.75" customHeight="1">
      <c r="A400" s="3">
        <v>42036.0</v>
      </c>
      <c r="B400" s="1">
        <v>2015.0</v>
      </c>
      <c r="C400" s="1">
        <v>2.0</v>
      </c>
      <c r="D400" s="1" t="s">
        <v>18</v>
      </c>
      <c r="E400" s="1">
        <v>171469.93052966276</v>
      </c>
      <c r="F400" s="1">
        <v>174652.45798996426</v>
      </c>
      <c r="G400" s="1">
        <v>4165.0</v>
      </c>
      <c r="H400" s="1">
        <v>41.17</v>
      </c>
      <c r="I400" s="1">
        <v>41.93</v>
      </c>
      <c r="J400" s="1">
        <v>-0.76</v>
      </c>
      <c r="K400" s="1">
        <v>-1.86</v>
      </c>
      <c r="L400" s="1">
        <f t="shared" si="1"/>
        <v>-3182.52746</v>
      </c>
      <c r="M400" s="1" t="str">
        <f t="shared" si="2"/>
        <v>ON SALE</v>
      </c>
      <c r="N400" s="1">
        <f t="shared" si="3"/>
        <v>41.16925103</v>
      </c>
      <c r="O400" s="1">
        <f t="shared" si="4"/>
        <v>38.37023269</v>
      </c>
      <c r="P400" s="4">
        <f t="shared" si="5"/>
        <v>-0.0436502738</v>
      </c>
    </row>
    <row r="401" ht="15.75" customHeight="1">
      <c r="A401" s="3">
        <v>42037.0</v>
      </c>
      <c r="B401" s="1">
        <v>2015.0</v>
      </c>
      <c r="C401" s="1">
        <v>2.0</v>
      </c>
      <c r="D401" s="1" t="s">
        <v>18</v>
      </c>
      <c r="E401" s="1">
        <v>151737.21883246515</v>
      </c>
      <c r="F401" s="1">
        <v>154148.59881302153</v>
      </c>
      <c r="G401" s="1">
        <v>3685.0</v>
      </c>
      <c r="H401" s="1">
        <v>41.18</v>
      </c>
      <c r="I401" s="1">
        <v>41.83</v>
      </c>
      <c r="J401" s="1">
        <v>-0.65</v>
      </c>
      <c r="K401" s="1">
        <v>-1.59</v>
      </c>
      <c r="L401" s="1">
        <f t="shared" si="1"/>
        <v>-2411.379981</v>
      </c>
      <c r="M401" s="1" t="str">
        <f t="shared" si="2"/>
        <v>ON SALE</v>
      </c>
      <c r="N401" s="1">
        <f t="shared" si="3"/>
        <v>41.1769929</v>
      </c>
      <c r="O401" s="1">
        <f t="shared" si="4"/>
        <v>38.36513926</v>
      </c>
      <c r="P401" s="4">
        <f t="shared" si="5"/>
        <v>-0.04369044247</v>
      </c>
    </row>
    <row r="402" ht="15.75" customHeight="1">
      <c r="A402" s="3">
        <v>42038.0</v>
      </c>
      <c r="B402" s="1">
        <v>2015.0</v>
      </c>
      <c r="C402" s="1">
        <v>2.0</v>
      </c>
      <c r="D402" s="1" t="s">
        <v>18</v>
      </c>
      <c r="E402" s="1">
        <v>102072.44340557892</v>
      </c>
      <c r="F402" s="1">
        <v>103634.96422901604</v>
      </c>
      <c r="G402" s="1">
        <v>2479.0</v>
      </c>
      <c r="H402" s="1">
        <v>41.17</v>
      </c>
      <c r="I402" s="1">
        <v>41.81</v>
      </c>
      <c r="J402" s="1">
        <v>-0.63</v>
      </c>
      <c r="K402" s="1">
        <v>-1.53</v>
      </c>
      <c r="L402" s="1">
        <f t="shared" si="1"/>
        <v>-1562.520823</v>
      </c>
      <c r="M402" s="1" t="str">
        <f t="shared" si="2"/>
        <v>ON SALE</v>
      </c>
      <c r="N402" s="1">
        <f t="shared" si="3"/>
        <v>41.17484607</v>
      </c>
      <c r="O402" s="1">
        <f t="shared" si="4"/>
        <v>38.36074983</v>
      </c>
      <c r="P402" s="4">
        <f t="shared" si="5"/>
        <v>-0.04372988184</v>
      </c>
    </row>
    <row r="403" ht="15.75" customHeight="1">
      <c r="A403" s="3">
        <v>42039.0</v>
      </c>
      <c r="B403" s="1">
        <v>2015.0</v>
      </c>
      <c r="C403" s="1">
        <v>2.0</v>
      </c>
      <c r="D403" s="1" t="s">
        <v>18</v>
      </c>
      <c r="E403" s="1">
        <v>82514.10512003038</v>
      </c>
      <c r="F403" s="1">
        <v>83232.39136736213</v>
      </c>
      <c r="G403" s="1">
        <v>2005.0</v>
      </c>
      <c r="H403" s="1">
        <v>41.15</v>
      </c>
      <c r="I403" s="1">
        <v>41.51</v>
      </c>
      <c r="J403" s="1">
        <v>-0.36</v>
      </c>
      <c r="K403" s="1">
        <v>-0.87</v>
      </c>
      <c r="L403" s="1">
        <f t="shared" si="1"/>
        <v>-718.2862473</v>
      </c>
      <c r="M403" s="1" t="str">
        <f t="shared" si="2"/>
        <v>ON SALE</v>
      </c>
      <c r="N403" s="1">
        <f t="shared" si="3"/>
        <v>41.15416714</v>
      </c>
      <c r="O403" s="1">
        <f t="shared" si="4"/>
        <v>38.35781303</v>
      </c>
      <c r="P403" s="4">
        <f t="shared" si="5"/>
        <v>-0.04375703317</v>
      </c>
    </row>
    <row r="404" ht="15.75" customHeight="1">
      <c r="A404" s="3">
        <v>42040.0</v>
      </c>
      <c r="B404" s="1">
        <v>2015.0</v>
      </c>
      <c r="C404" s="1">
        <v>2.0</v>
      </c>
      <c r="D404" s="1" t="s">
        <v>18</v>
      </c>
      <c r="E404" s="1">
        <v>46211.33245807025</v>
      </c>
      <c r="F404" s="1">
        <v>46407.29911726897</v>
      </c>
      <c r="G404" s="1">
        <v>1122.0</v>
      </c>
      <c r="H404" s="1">
        <v>41.19</v>
      </c>
      <c r="I404" s="1">
        <v>41.36</v>
      </c>
      <c r="J404" s="1">
        <v>-0.17</v>
      </c>
      <c r="K404" s="1">
        <v>-0.42</v>
      </c>
      <c r="L404" s="1">
        <f t="shared" si="1"/>
        <v>-195.9666592</v>
      </c>
      <c r="M404" s="1" t="str">
        <f t="shared" si="2"/>
        <v>ON SALE</v>
      </c>
      <c r="N404" s="1">
        <f t="shared" si="3"/>
        <v>41.18657082</v>
      </c>
      <c r="O404" s="1">
        <f t="shared" si="4"/>
        <v>38.35563611</v>
      </c>
      <c r="P404" s="4">
        <f t="shared" si="5"/>
        <v>-0.04378412297</v>
      </c>
    </row>
    <row r="405" ht="15.75" customHeight="1">
      <c r="A405" s="3">
        <v>42041.0</v>
      </c>
      <c r="B405" s="1">
        <v>2015.0</v>
      </c>
      <c r="C405" s="1">
        <v>2.0</v>
      </c>
      <c r="D405" s="1" t="s">
        <v>18</v>
      </c>
      <c r="E405" s="1">
        <v>85730.41481046013</v>
      </c>
      <c r="F405" s="1">
        <v>85765.70933606157</v>
      </c>
      <c r="G405" s="1">
        <v>2082.0</v>
      </c>
      <c r="H405" s="1">
        <v>41.18</v>
      </c>
      <c r="I405" s="1">
        <v>41.19</v>
      </c>
      <c r="J405" s="1">
        <v>-0.02</v>
      </c>
      <c r="K405" s="1">
        <v>-0.04</v>
      </c>
      <c r="L405" s="1">
        <f t="shared" si="1"/>
        <v>-35.2945256</v>
      </c>
      <c r="M405" s="1" t="str">
        <f t="shared" si="2"/>
        <v>ON SALE</v>
      </c>
      <c r="N405" s="1">
        <f t="shared" si="3"/>
        <v>41.17695236</v>
      </c>
      <c r="O405" s="1">
        <f t="shared" si="4"/>
        <v>38.354475</v>
      </c>
      <c r="P405" s="4">
        <f t="shared" si="5"/>
        <v>-0.04380124582</v>
      </c>
    </row>
    <row r="406" ht="15.75" customHeight="1">
      <c r="A406" s="3">
        <v>42042.0</v>
      </c>
      <c r="B406" s="1">
        <v>2015.0</v>
      </c>
      <c r="C406" s="1">
        <v>2.0</v>
      </c>
      <c r="D406" s="1" t="s">
        <v>18</v>
      </c>
      <c r="E406" s="1">
        <v>105918.29329060845</v>
      </c>
      <c r="F406" s="1">
        <v>105662.55624090016</v>
      </c>
      <c r="G406" s="1">
        <v>2573.0</v>
      </c>
      <c r="H406" s="1">
        <v>41.17</v>
      </c>
      <c r="I406" s="1">
        <v>41.07</v>
      </c>
      <c r="J406" s="1">
        <v>0.1</v>
      </c>
      <c r="K406" s="1">
        <v>0.24</v>
      </c>
      <c r="L406" s="1">
        <f t="shared" si="1"/>
        <v>255.7370497</v>
      </c>
      <c r="M406" s="1" t="str">
        <f t="shared" si="2"/>
        <v>Regular</v>
      </c>
      <c r="N406" s="1">
        <f t="shared" si="3"/>
        <v>41.16529082</v>
      </c>
      <c r="O406" s="1">
        <f t="shared" si="4"/>
        <v>38.35243808</v>
      </c>
      <c r="P406" s="4">
        <f t="shared" si="5"/>
        <v>-0.04383612946</v>
      </c>
    </row>
    <row r="407" ht="15.75" customHeight="1">
      <c r="A407" s="3">
        <v>42043.0</v>
      </c>
      <c r="B407" s="1">
        <v>2015.0</v>
      </c>
      <c r="C407" s="1">
        <v>2.0</v>
      </c>
      <c r="D407" s="1" t="s">
        <v>18</v>
      </c>
      <c r="E407" s="1">
        <v>73041.66087122049</v>
      </c>
      <c r="F407" s="1">
        <v>73046.23389967678</v>
      </c>
      <c r="G407" s="1">
        <v>1774.0</v>
      </c>
      <c r="H407" s="1">
        <v>41.17</v>
      </c>
      <c r="I407" s="1">
        <v>41.18</v>
      </c>
      <c r="J407" s="1">
        <v>0.0</v>
      </c>
      <c r="K407" s="1">
        <v>-0.01</v>
      </c>
      <c r="L407" s="1">
        <f t="shared" si="1"/>
        <v>-4.573028456</v>
      </c>
      <c r="M407" s="1" t="str">
        <f t="shared" si="2"/>
        <v>ON SALE</v>
      </c>
      <c r="N407" s="1">
        <f t="shared" si="3"/>
        <v>41.17342777</v>
      </c>
      <c r="O407" s="1">
        <f t="shared" si="4"/>
        <v>38.35003033</v>
      </c>
      <c r="P407" s="4">
        <f t="shared" si="5"/>
        <v>-0.04388211504</v>
      </c>
    </row>
    <row r="408" ht="15.75" customHeight="1">
      <c r="A408" s="3">
        <v>42044.0</v>
      </c>
      <c r="B408" s="1">
        <v>2015.0</v>
      </c>
      <c r="C408" s="1">
        <v>2.0</v>
      </c>
      <c r="D408" s="1" t="s">
        <v>18</v>
      </c>
      <c r="E408" s="1">
        <v>97908.54709609867</v>
      </c>
      <c r="F408" s="1">
        <v>97097.93659019307</v>
      </c>
      <c r="G408" s="1">
        <v>2378.0</v>
      </c>
      <c r="H408" s="1">
        <v>41.17</v>
      </c>
      <c r="I408" s="1">
        <v>40.83</v>
      </c>
      <c r="J408" s="1">
        <v>0.34</v>
      </c>
      <c r="K408" s="1">
        <v>0.83</v>
      </c>
      <c r="L408" s="1">
        <f t="shared" si="1"/>
        <v>810.6105059</v>
      </c>
      <c r="M408" s="1" t="str">
        <f t="shared" si="2"/>
        <v>Regular</v>
      </c>
      <c r="N408" s="1">
        <f t="shared" si="3"/>
        <v>41.17264386</v>
      </c>
      <c r="O408" s="1">
        <f t="shared" si="4"/>
        <v>38.34830038</v>
      </c>
      <c r="P408" s="4">
        <f t="shared" si="5"/>
        <v>-0.04391218059</v>
      </c>
    </row>
    <row r="409" ht="15.75" customHeight="1">
      <c r="A409" s="3">
        <v>42045.0</v>
      </c>
      <c r="B409" s="1">
        <v>2015.0</v>
      </c>
      <c r="C409" s="1">
        <v>2.0</v>
      </c>
      <c r="D409" s="1" t="s">
        <v>18</v>
      </c>
      <c r="E409" s="1">
        <v>138667.41591113637</v>
      </c>
      <c r="F409" s="1">
        <v>148522.8490204199</v>
      </c>
      <c r="G409" s="1">
        <v>3677.0</v>
      </c>
      <c r="H409" s="1">
        <v>37.71</v>
      </c>
      <c r="I409" s="1">
        <v>40.39</v>
      </c>
      <c r="J409" s="1">
        <v>-2.68</v>
      </c>
      <c r="K409" s="1">
        <v>-7.11</v>
      </c>
      <c r="L409" s="1">
        <f t="shared" si="1"/>
        <v>-9855.433109</v>
      </c>
      <c r="M409" s="1" t="str">
        <f t="shared" si="2"/>
        <v>ON SALE</v>
      </c>
      <c r="N409" s="1">
        <f t="shared" si="3"/>
        <v>37.71210658</v>
      </c>
      <c r="O409" s="1">
        <f t="shared" si="4"/>
        <v>38.3462608</v>
      </c>
      <c r="P409" s="4">
        <f t="shared" si="5"/>
        <v>-0.04396022587</v>
      </c>
    </row>
    <row r="410" ht="15.75" customHeight="1">
      <c r="A410" s="3">
        <v>42046.0</v>
      </c>
      <c r="B410" s="1">
        <v>2015.0</v>
      </c>
      <c r="C410" s="1">
        <v>2.0</v>
      </c>
      <c r="D410" s="1" t="s">
        <v>18</v>
      </c>
      <c r="E410" s="1">
        <v>162162.10351832397</v>
      </c>
      <c r="F410" s="1">
        <v>173661.82783508644</v>
      </c>
      <c r="G410" s="1">
        <v>4299.0</v>
      </c>
      <c r="H410" s="1">
        <v>37.72</v>
      </c>
      <c r="I410" s="1">
        <v>40.4</v>
      </c>
      <c r="J410" s="1">
        <v>-2.67</v>
      </c>
      <c r="K410" s="1">
        <v>-7.09</v>
      </c>
      <c r="L410" s="1">
        <f t="shared" si="1"/>
        <v>-11499.72432</v>
      </c>
      <c r="M410" s="1" t="str">
        <f t="shared" si="2"/>
        <v>ON SALE</v>
      </c>
      <c r="N410" s="1">
        <f t="shared" si="3"/>
        <v>37.7208894</v>
      </c>
      <c r="O410" s="1">
        <f t="shared" si="4"/>
        <v>38.34365915</v>
      </c>
      <c r="P410" s="4">
        <f t="shared" si="5"/>
        <v>-0.04392483127</v>
      </c>
    </row>
    <row r="411" ht="15.75" customHeight="1">
      <c r="A411" s="3">
        <v>42047.0</v>
      </c>
      <c r="B411" s="1">
        <v>2015.0</v>
      </c>
      <c r="C411" s="1">
        <v>2.0</v>
      </c>
      <c r="D411" s="1" t="s">
        <v>18</v>
      </c>
      <c r="E411" s="1">
        <v>138520.12680392637</v>
      </c>
      <c r="F411" s="1">
        <v>147756.34279381522</v>
      </c>
      <c r="G411" s="1">
        <v>3674.0</v>
      </c>
      <c r="H411" s="1">
        <v>37.7</v>
      </c>
      <c r="I411" s="1">
        <v>40.22</v>
      </c>
      <c r="J411" s="1">
        <v>-2.51</v>
      </c>
      <c r="K411" s="1">
        <v>-6.67</v>
      </c>
      <c r="L411" s="1">
        <f t="shared" si="1"/>
        <v>-9236.21599</v>
      </c>
      <c r="M411" s="1" t="str">
        <f t="shared" si="2"/>
        <v>ON SALE</v>
      </c>
      <c r="N411" s="1">
        <f t="shared" si="3"/>
        <v>37.70281078</v>
      </c>
      <c r="O411" s="1">
        <f t="shared" si="4"/>
        <v>38.34060383</v>
      </c>
      <c r="P411" s="4">
        <f t="shared" si="5"/>
        <v>-0.04388356305</v>
      </c>
    </row>
    <row r="412" ht="15.75" customHeight="1">
      <c r="A412" s="3">
        <v>42048.0</v>
      </c>
      <c r="B412" s="1">
        <v>2015.0</v>
      </c>
      <c r="C412" s="1">
        <v>2.0</v>
      </c>
      <c r="D412" s="1" t="s">
        <v>18</v>
      </c>
      <c r="E412" s="1">
        <v>358597.4285091585</v>
      </c>
      <c r="F412" s="1">
        <v>382447.08041708503</v>
      </c>
      <c r="G412" s="1">
        <v>9505.0</v>
      </c>
      <c r="H412" s="1">
        <v>37.73</v>
      </c>
      <c r="I412" s="1">
        <v>40.24</v>
      </c>
      <c r="J412" s="1">
        <v>-2.51</v>
      </c>
      <c r="K412" s="1">
        <v>-6.65</v>
      </c>
      <c r="L412" s="1">
        <f t="shared" si="1"/>
        <v>-23849.65191</v>
      </c>
      <c r="M412" s="1" t="str">
        <f t="shared" si="2"/>
        <v>ON SALE</v>
      </c>
      <c r="N412" s="1">
        <f t="shared" si="3"/>
        <v>37.7272413</v>
      </c>
      <c r="O412" s="1">
        <f t="shared" si="4"/>
        <v>38.33821367</v>
      </c>
      <c r="P412" s="4">
        <f t="shared" si="5"/>
        <v>-0.04385375276</v>
      </c>
    </row>
    <row r="413" ht="15.75" customHeight="1">
      <c r="A413" s="3">
        <v>42049.0</v>
      </c>
      <c r="B413" s="1">
        <v>2015.0</v>
      </c>
      <c r="C413" s="1">
        <v>2.0</v>
      </c>
      <c r="D413" s="1" t="s">
        <v>18</v>
      </c>
      <c r="E413" s="1">
        <v>424009.8825170612</v>
      </c>
      <c r="F413" s="1">
        <v>451548.0275596244</v>
      </c>
      <c r="G413" s="1">
        <v>11237.0</v>
      </c>
      <c r="H413" s="1">
        <v>37.73</v>
      </c>
      <c r="I413" s="1">
        <v>40.18</v>
      </c>
      <c r="J413" s="1">
        <v>-2.45</v>
      </c>
      <c r="K413" s="1">
        <v>-6.49</v>
      </c>
      <c r="L413" s="1">
        <f t="shared" si="1"/>
        <v>-27538.14504</v>
      </c>
      <c r="M413" s="1" t="str">
        <f t="shared" si="2"/>
        <v>ON SALE</v>
      </c>
      <c r="N413" s="1">
        <f t="shared" si="3"/>
        <v>37.73337034</v>
      </c>
      <c r="O413" s="1">
        <f t="shared" si="4"/>
        <v>38.33193673</v>
      </c>
      <c r="P413" s="4">
        <f t="shared" si="5"/>
        <v>-0.04377679347</v>
      </c>
    </row>
    <row r="414" ht="15.75" customHeight="1">
      <c r="A414" s="3">
        <v>42050.0</v>
      </c>
      <c r="B414" s="1">
        <v>2015.0</v>
      </c>
      <c r="C414" s="1">
        <v>2.0</v>
      </c>
      <c r="D414" s="1" t="s">
        <v>18</v>
      </c>
      <c r="E414" s="1">
        <v>203861.47237812544</v>
      </c>
      <c r="F414" s="1">
        <v>217065.61516082732</v>
      </c>
      <c r="G414" s="1">
        <v>5406.0</v>
      </c>
      <c r="H414" s="1">
        <v>37.71</v>
      </c>
      <c r="I414" s="1">
        <v>40.15</v>
      </c>
      <c r="J414" s="1">
        <v>-2.44</v>
      </c>
      <c r="K414" s="1">
        <v>-6.48</v>
      </c>
      <c r="L414" s="1">
        <f t="shared" si="1"/>
        <v>-13204.14278</v>
      </c>
      <c r="M414" s="1" t="str">
        <f t="shared" si="2"/>
        <v>ON SALE</v>
      </c>
      <c r="N414" s="1">
        <f t="shared" si="3"/>
        <v>37.71022427</v>
      </c>
      <c r="O414" s="1">
        <f t="shared" si="4"/>
        <v>38.3246678</v>
      </c>
      <c r="P414" s="4">
        <f t="shared" si="5"/>
        <v>-0.04369141484</v>
      </c>
    </row>
    <row r="415" ht="15.75" customHeight="1">
      <c r="A415" s="3">
        <v>42051.0</v>
      </c>
      <c r="B415" s="1">
        <v>2015.0</v>
      </c>
      <c r="C415" s="1">
        <v>2.0</v>
      </c>
      <c r="D415" s="1" t="s">
        <v>18</v>
      </c>
      <c r="E415" s="1">
        <v>220506.20933281546</v>
      </c>
      <c r="F415" s="1">
        <v>234723.22004532232</v>
      </c>
      <c r="G415" s="1">
        <v>5846.0</v>
      </c>
      <c r="H415" s="1">
        <v>37.72</v>
      </c>
      <c r="I415" s="1">
        <v>40.15</v>
      </c>
      <c r="J415" s="1">
        <v>-2.43</v>
      </c>
      <c r="K415" s="1">
        <v>-6.45</v>
      </c>
      <c r="L415" s="1">
        <f t="shared" si="1"/>
        <v>-14217.01071</v>
      </c>
      <c r="M415" s="1" t="str">
        <f t="shared" si="2"/>
        <v>ON SALE</v>
      </c>
      <c r="N415" s="1">
        <f t="shared" si="3"/>
        <v>37.71916</v>
      </c>
      <c r="O415" s="1">
        <f t="shared" si="4"/>
        <v>38.32120967</v>
      </c>
      <c r="P415" s="4">
        <f t="shared" si="5"/>
        <v>-0.0436504631</v>
      </c>
    </row>
    <row r="416" ht="15.75" customHeight="1">
      <c r="A416" s="3">
        <v>42052.0</v>
      </c>
      <c r="B416" s="1">
        <v>2015.0</v>
      </c>
      <c r="C416" s="1">
        <v>2.0</v>
      </c>
      <c r="D416" s="1" t="s">
        <v>18</v>
      </c>
      <c r="E416" s="1">
        <v>139935.93697634517</v>
      </c>
      <c r="F416" s="1">
        <v>148697.5436959896</v>
      </c>
      <c r="G416" s="1">
        <v>3713.0</v>
      </c>
      <c r="H416" s="1">
        <v>37.69</v>
      </c>
      <c r="I416" s="1">
        <v>40.05</v>
      </c>
      <c r="J416" s="1">
        <v>-2.36</v>
      </c>
      <c r="K416" s="1">
        <v>-6.26</v>
      </c>
      <c r="L416" s="1">
        <f t="shared" si="1"/>
        <v>-8761.60672</v>
      </c>
      <c r="M416" s="1" t="str">
        <f t="shared" si="2"/>
        <v>ON SALE</v>
      </c>
      <c r="N416" s="1">
        <f t="shared" si="3"/>
        <v>37.68810584</v>
      </c>
      <c r="O416" s="1">
        <f t="shared" si="4"/>
        <v>38.31745869</v>
      </c>
      <c r="P416" s="4">
        <f t="shared" si="5"/>
        <v>-0.04360661104</v>
      </c>
    </row>
    <row r="417" ht="15.75" customHeight="1">
      <c r="A417" s="3">
        <v>42053.0</v>
      </c>
      <c r="B417" s="1">
        <v>2015.0</v>
      </c>
      <c r="C417" s="1">
        <v>2.0</v>
      </c>
      <c r="D417" s="1" t="s">
        <v>18</v>
      </c>
      <c r="E417" s="1">
        <v>161064.75234488395</v>
      </c>
      <c r="F417" s="1">
        <v>170739.36662316835</v>
      </c>
      <c r="G417" s="1">
        <v>4270.0</v>
      </c>
      <c r="H417" s="1">
        <v>37.72</v>
      </c>
      <c r="I417" s="1">
        <v>39.99</v>
      </c>
      <c r="J417" s="1">
        <v>-2.27</v>
      </c>
      <c r="K417" s="1">
        <v>-6.01</v>
      </c>
      <c r="L417" s="1">
        <f t="shared" si="1"/>
        <v>-9674.614278</v>
      </c>
      <c r="M417" s="1" t="str">
        <f t="shared" si="2"/>
        <v>ON SALE</v>
      </c>
      <c r="N417" s="1">
        <f t="shared" si="3"/>
        <v>37.72008252</v>
      </c>
      <c r="O417" s="1">
        <f t="shared" si="4"/>
        <v>38.31520293</v>
      </c>
      <c r="P417" s="4">
        <f t="shared" si="5"/>
        <v>-0.04358117893</v>
      </c>
    </row>
    <row r="418" ht="15.75" customHeight="1">
      <c r="A418" s="3">
        <v>42054.0</v>
      </c>
      <c r="B418" s="1">
        <v>2015.0</v>
      </c>
      <c r="C418" s="1">
        <v>2.0</v>
      </c>
      <c r="D418" s="1" t="s">
        <v>18</v>
      </c>
      <c r="E418" s="1">
        <v>144328.54518998516</v>
      </c>
      <c r="F418" s="1">
        <v>152824.1148984046</v>
      </c>
      <c r="G418" s="1">
        <v>3827.0</v>
      </c>
      <c r="H418" s="1">
        <v>37.71</v>
      </c>
      <c r="I418" s="1">
        <v>39.93</v>
      </c>
      <c r="J418" s="1">
        <v>-2.22</v>
      </c>
      <c r="K418" s="1">
        <v>-5.89</v>
      </c>
      <c r="L418" s="1">
        <f t="shared" si="1"/>
        <v>-8495.569708</v>
      </c>
      <c r="M418" s="1" t="str">
        <f t="shared" si="2"/>
        <v>ON SALE</v>
      </c>
      <c r="N418" s="1">
        <f t="shared" si="3"/>
        <v>37.71323365</v>
      </c>
      <c r="O418" s="1">
        <f t="shared" si="4"/>
        <v>38.31269461</v>
      </c>
      <c r="P418" s="4">
        <f t="shared" si="5"/>
        <v>-0.0435557483</v>
      </c>
    </row>
    <row r="419" ht="15.75" customHeight="1">
      <c r="A419" s="3">
        <v>42055.0</v>
      </c>
      <c r="B419" s="1">
        <v>2015.0</v>
      </c>
      <c r="C419" s="1">
        <v>2.0</v>
      </c>
      <c r="D419" s="1" t="s">
        <v>18</v>
      </c>
      <c r="E419" s="1">
        <v>293071.7591964033</v>
      </c>
      <c r="F419" s="1">
        <v>310240.3783953406</v>
      </c>
      <c r="G419" s="1">
        <v>7770.0</v>
      </c>
      <c r="H419" s="1">
        <v>37.72</v>
      </c>
      <c r="I419" s="1">
        <v>39.93</v>
      </c>
      <c r="J419" s="1">
        <v>-2.21</v>
      </c>
      <c r="K419" s="1">
        <v>-5.86</v>
      </c>
      <c r="L419" s="1">
        <f t="shared" si="1"/>
        <v>-17168.6192</v>
      </c>
      <c r="M419" s="1" t="str">
        <f t="shared" si="2"/>
        <v>ON SALE</v>
      </c>
      <c r="N419" s="1">
        <f t="shared" si="3"/>
        <v>37.71837313</v>
      </c>
      <c r="O419" s="1">
        <f t="shared" si="4"/>
        <v>38.31051108</v>
      </c>
      <c r="P419" s="4">
        <f t="shared" si="5"/>
        <v>-0.04353455991</v>
      </c>
    </row>
    <row r="420" ht="15.75" customHeight="1">
      <c r="A420" s="3">
        <v>42056.0</v>
      </c>
      <c r="B420" s="1">
        <v>2015.0</v>
      </c>
      <c r="C420" s="1">
        <v>2.0</v>
      </c>
      <c r="D420" s="1" t="s">
        <v>18</v>
      </c>
      <c r="E420" s="1">
        <v>267782.1539619082</v>
      </c>
      <c r="F420" s="1">
        <v>283430.3368337632</v>
      </c>
      <c r="G420" s="1">
        <v>7102.0</v>
      </c>
      <c r="H420" s="1">
        <v>37.71</v>
      </c>
      <c r="I420" s="1">
        <v>39.91</v>
      </c>
      <c r="J420" s="1">
        <v>-2.2</v>
      </c>
      <c r="K420" s="1">
        <v>-5.84</v>
      </c>
      <c r="L420" s="1">
        <f t="shared" si="1"/>
        <v>-15648.18287</v>
      </c>
      <c r="M420" s="1" t="str">
        <f t="shared" si="2"/>
        <v>ON SALE</v>
      </c>
      <c r="N420" s="1">
        <f t="shared" si="3"/>
        <v>37.70517516</v>
      </c>
      <c r="O420" s="1">
        <f t="shared" si="4"/>
        <v>38.30607383</v>
      </c>
      <c r="P420" s="4">
        <f t="shared" si="5"/>
        <v>-0.04349214633</v>
      </c>
    </row>
    <row r="421" ht="15.75" customHeight="1">
      <c r="A421" s="3">
        <v>42057.0</v>
      </c>
      <c r="B421" s="1">
        <v>2015.0</v>
      </c>
      <c r="C421" s="1">
        <v>2.0</v>
      </c>
      <c r="D421" s="1" t="s">
        <v>18</v>
      </c>
      <c r="E421" s="1">
        <v>136052.68842362516</v>
      </c>
      <c r="F421" s="1">
        <v>144020.1227597401</v>
      </c>
      <c r="G421" s="1">
        <v>3608.0</v>
      </c>
      <c r="H421" s="1">
        <v>37.71</v>
      </c>
      <c r="I421" s="1">
        <v>39.92</v>
      </c>
      <c r="J421" s="1">
        <v>-2.21</v>
      </c>
      <c r="K421" s="1">
        <v>-5.86</v>
      </c>
      <c r="L421" s="1">
        <f t="shared" si="1"/>
        <v>-7967.434336</v>
      </c>
      <c r="M421" s="1" t="str">
        <f t="shared" si="2"/>
        <v>ON SALE</v>
      </c>
      <c r="N421" s="1">
        <f t="shared" si="3"/>
        <v>37.70861653</v>
      </c>
      <c r="O421" s="1">
        <f t="shared" si="4"/>
        <v>38.30204561</v>
      </c>
      <c r="P421" s="4">
        <f t="shared" si="5"/>
        <v>-0.04345355849</v>
      </c>
    </row>
    <row r="422" ht="15.75" customHeight="1">
      <c r="A422" s="3">
        <v>42058.0</v>
      </c>
      <c r="B422" s="1">
        <v>2015.0</v>
      </c>
      <c r="C422" s="1">
        <v>2.0</v>
      </c>
      <c r="D422" s="1" t="s">
        <v>18</v>
      </c>
      <c r="E422" s="1">
        <v>86703.31409037916</v>
      </c>
      <c r="F422" s="1">
        <v>85730.96653928269</v>
      </c>
      <c r="G422" s="1">
        <v>2150.0</v>
      </c>
      <c r="H422" s="1">
        <v>40.33</v>
      </c>
      <c r="I422" s="1">
        <v>39.87</v>
      </c>
      <c r="J422" s="1">
        <v>0.45</v>
      </c>
      <c r="K422" s="1">
        <v>1.12</v>
      </c>
      <c r="L422" s="1">
        <f t="shared" si="1"/>
        <v>972.3475511</v>
      </c>
      <c r="M422" s="1" t="str">
        <f t="shared" si="2"/>
        <v>Regular</v>
      </c>
      <c r="N422" s="1">
        <f t="shared" si="3"/>
        <v>40.32712283</v>
      </c>
      <c r="O422" s="1">
        <f t="shared" si="4"/>
        <v>38.29998071</v>
      </c>
      <c r="P422" s="4">
        <f t="shared" si="5"/>
        <v>-0.04343371223</v>
      </c>
    </row>
    <row r="423" ht="15.75" customHeight="1">
      <c r="A423" s="3">
        <v>42059.0</v>
      </c>
      <c r="B423" s="1">
        <v>2015.0</v>
      </c>
      <c r="C423" s="1">
        <v>2.0</v>
      </c>
      <c r="D423" s="1" t="s">
        <v>18</v>
      </c>
      <c r="E423" s="1">
        <v>95474.35736909964</v>
      </c>
      <c r="F423" s="1">
        <v>100867.5240607559</v>
      </c>
      <c r="G423" s="1">
        <v>2530.0</v>
      </c>
      <c r="H423" s="1">
        <v>37.74</v>
      </c>
      <c r="I423" s="1">
        <v>39.87</v>
      </c>
      <c r="J423" s="1">
        <v>-2.13</v>
      </c>
      <c r="K423" s="1">
        <v>-5.65</v>
      </c>
      <c r="L423" s="1">
        <f t="shared" si="1"/>
        <v>-5393.166692</v>
      </c>
      <c r="M423" s="1" t="str">
        <f t="shared" si="2"/>
        <v>ON SALE</v>
      </c>
      <c r="N423" s="1">
        <f t="shared" si="3"/>
        <v>37.73690015</v>
      </c>
      <c r="O423" s="1">
        <f t="shared" si="4"/>
        <v>38.29877977</v>
      </c>
      <c r="P423" s="4">
        <f t="shared" si="5"/>
        <v>-0.04347949963</v>
      </c>
    </row>
    <row r="424" ht="15.75" customHeight="1">
      <c r="A424" s="3">
        <v>42060.0</v>
      </c>
      <c r="B424" s="1">
        <v>2015.0</v>
      </c>
      <c r="C424" s="1">
        <v>2.0</v>
      </c>
      <c r="D424" s="1" t="s">
        <v>18</v>
      </c>
      <c r="E424" s="1">
        <v>198431.6275269815</v>
      </c>
      <c r="F424" s="1">
        <v>209499.79410912097</v>
      </c>
      <c r="G424" s="1">
        <v>5253.0</v>
      </c>
      <c r="H424" s="1">
        <v>37.77</v>
      </c>
      <c r="I424" s="1">
        <v>39.88</v>
      </c>
      <c r="J424" s="1">
        <v>-2.11</v>
      </c>
      <c r="K424" s="1">
        <v>-5.58</v>
      </c>
      <c r="L424" s="1">
        <f t="shared" si="1"/>
        <v>-11068.16658</v>
      </c>
      <c r="M424" s="1" t="str">
        <f t="shared" si="2"/>
        <v>ON SALE</v>
      </c>
      <c r="N424" s="1">
        <f t="shared" si="3"/>
        <v>37.77491482</v>
      </c>
      <c r="O424" s="1">
        <f t="shared" si="4"/>
        <v>38.29736986</v>
      </c>
      <c r="P424" s="4">
        <f t="shared" si="5"/>
        <v>-0.04346748662</v>
      </c>
    </row>
    <row r="425" ht="15.75" customHeight="1">
      <c r="A425" s="3">
        <v>42061.0</v>
      </c>
      <c r="B425" s="1">
        <v>2015.0</v>
      </c>
      <c r="C425" s="1">
        <v>2.0</v>
      </c>
      <c r="D425" s="1" t="s">
        <v>18</v>
      </c>
      <c r="E425" s="1">
        <v>157291.73399894516</v>
      </c>
      <c r="F425" s="1">
        <v>166305.03762747045</v>
      </c>
      <c r="G425" s="1">
        <v>4171.0</v>
      </c>
      <c r="H425" s="1">
        <v>37.71</v>
      </c>
      <c r="I425" s="1">
        <v>39.87</v>
      </c>
      <c r="J425" s="1">
        <v>-2.16</v>
      </c>
      <c r="K425" s="1">
        <v>-5.73</v>
      </c>
      <c r="L425" s="1">
        <f t="shared" si="1"/>
        <v>-9013.303629</v>
      </c>
      <c r="M425" s="1" t="str">
        <f t="shared" si="2"/>
        <v>ON SALE</v>
      </c>
      <c r="N425" s="1">
        <f t="shared" si="3"/>
        <v>37.71079693</v>
      </c>
      <c r="O425" s="1">
        <f t="shared" si="4"/>
        <v>38.29440945</v>
      </c>
      <c r="P425" s="4">
        <f t="shared" si="5"/>
        <v>-0.04344381305</v>
      </c>
    </row>
    <row r="426" ht="15.75" customHeight="1">
      <c r="A426" s="3">
        <v>42062.0</v>
      </c>
      <c r="B426" s="1">
        <v>2015.0</v>
      </c>
      <c r="C426" s="1">
        <v>2.0</v>
      </c>
      <c r="D426" s="1" t="s">
        <v>18</v>
      </c>
      <c r="E426" s="1">
        <v>307540.675156237</v>
      </c>
      <c r="F426" s="1">
        <v>324997.33647802816</v>
      </c>
      <c r="G426" s="1">
        <v>8156.0</v>
      </c>
      <c r="H426" s="1">
        <v>37.71</v>
      </c>
      <c r="I426" s="1">
        <v>39.85</v>
      </c>
      <c r="J426" s="1">
        <v>-2.14</v>
      </c>
      <c r="K426" s="1">
        <v>-5.68</v>
      </c>
      <c r="L426" s="1">
        <f t="shared" si="1"/>
        <v>-17456.66132</v>
      </c>
      <c r="M426" s="1" t="str">
        <f t="shared" si="2"/>
        <v>ON SALE</v>
      </c>
      <c r="N426" s="1">
        <f t="shared" si="3"/>
        <v>37.7072922</v>
      </c>
      <c r="O426" s="1">
        <f t="shared" si="4"/>
        <v>38.29206607</v>
      </c>
      <c r="P426" s="4">
        <f t="shared" si="5"/>
        <v>-0.04342265491</v>
      </c>
    </row>
    <row r="427" ht="15.75" customHeight="1">
      <c r="A427" s="3">
        <v>42063.0</v>
      </c>
      <c r="B427" s="1">
        <v>2015.0</v>
      </c>
      <c r="C427" s="1">
        <v>2.0</v>
      </c>
      <c r="D427" s="1" t="s">
        <v>18</v>
      </c>
      <c r="E427" s="1">
        <v>350898.7635102697</v>
      </c>
      <c r="F427" s="1">
        <v>375030.63545205916</v>
      </c>
      <c r="G427" s="1">
        <v>9296.0</v>
      </c>
      <c r="H427" s="1">
        <v>37.75</v>
      </c>
      <c r="I427" s="1">
        <v>40.34</v>
      </c>
      <c r="J427" s="1">
        <v>-2.6</v>
      </c>
      <c r="K427" s="1">
        <v>-6.88</v>
      </c>
      <c r="L427" s="1">
        <f t="shared" si="1"/>
        <v>-24131.87194</v>
      </c>
      <c r="M427" s="1" t="str">
        <f t="shared" si="2"/>
        <v>ON SALE</v>
      </c>
      <c r="N427" s="1">
        <f t="shared" si="3"/>
        <v>37.74728523</v>
      </c>
      <c r="O427" s="1">
        <f t="shared" si="4"/>
        <v>38.28753386</v>
      </c>
      <c r="P427" s="4">
        <f t="shared" si="5"/>
        <v>-0.0433827184</v>
      </c>
    </row>
    <row r="428" ht="15.75" customHeight="1">
      <c r="A428" s="3">
        <v>42064.0</v>
      </c>
      <c r="B428" s="1">
        <v>2015.0</v>
      </c>
      <c r="C428" s="1">
        <v>3.0</v>
      </c>
      <c r="D428" s="1" t="s">
        <v>19</v>
      </c>
      <c r="E428" s="1">
        <v>256701.5427333406</v>
      </c>
      <c r="F428" s="1">
        <v>276569.2503923595</v>
      </c>
      <c r="G428" s="1">
        <v>6803.0</v>
      </c>
      <c r="H428" s="1">
        <v>37.73</v>
      </c>
      <c r="I428" s="1">
        <v>40.65</v>
      </c>
      <c r="J428" s="1">
        <v>-2.92</v>
      </c>
      <c r="K428" s="1">
        <v>-7.74</v>
      </c>
      <c r="L428" s="1">
        <f t="shared" si="1"/>
        <v>-19867.70766</v>
      </c>
      <c r="M428" s="1" t="str">
        <f t="shared" si="2"/>
        <v>ON SALE</v>
      </c>
      <c r="N428" s="1">
        <f t="shared" si="3"/>
        <v>37.73357971</v>
      </c>
      <c r="O428" s="1">
        <f t="shared" si="4"/>
        <v>38.28068463</v>
      </c>
      <c r="P428" s="4">
        <f t="shared" si="5"/>
        <v>-0.04329569408</v>
      </c>
    </row>
    <row r="429" ht="15.75" customHeight="1">
      <c r="A429" s="3">
        <v>42065.0</v>
      </c>
      <c r="B429" s="1">
        <v>2015.0</v>
      </c>
      <c r="C429" s="1">
        <v>3.0</v>
      </c>
      <c r="D429" s="1" t="s">
        <v>19</v>
      </c>
      <c r="E429" s="1">
        <v>234705.59277910303</v>
      </c>
      <c r="F429" s="1">
        <v>252709.82306975976</v>
      </c>
      <c r="G429" s="1">
        <v>6221.0</v>
      </c>
      <c r="H429" s="1">
        <v>37.73</v>
      </c>
      <c r="I429" s="1">
        <v>40.62</v>
      </c>
      <c r="J429" s="1">
        <v>-2.89</v>
      </c>
      <c r="K429" s="1">
        <v>-7.67</v>
      </c>
      <c r="L429" s="1">
        <f t="shared" si="1"/>
        <v>-18004.23029</v>
      </c>
      <c r="M429" s="1" t="str">
        <f t="shared" si="2"/>
        <v>ON SALE</v>
      </c>
      <c r="N429" s="1">
        <f t="shared" si="3"/>
        <v>37.72795254</v>
      </c>
      <c r="O429" s="1">
        <f t="shared" si="4"/>
        <v>38.27488359</v>
      </c>
      <c r="P429" s="4">
        <f t="shared" si="5"/>
        <v>-0.04320997175</v>
      </c>
    </row>
    <row r="430" ht="15.75" customHeight="1">
      <c r="A430" s="3">
        <v>42066.0</v>
      </c>
      <c r="B430" s="1">
        <v>2015.0</v>
      </c>
      <c r="C430" s="1">
        <v>3.0</v>
      </c>
      <c r="D430" s="1" t="s">
        <v>19</v>
      </c>
      <c r="E430" s="1">
        <v>249380.56544757923</v>
      </c>
      <c r="F430" s="1">
        <v>268761.83235694445</v>
      </c>
      <c r="G430" s="1">
        <v>6611.0</v>
      </c>
      <c r="H430" s="1">
        <v>37.72</v>
      </c>
      <c r="I430" s="1">
        <v>40.65</v>
      </c>
      <c r="J430" s="1">
        <v>-2.93</v>
      </c>
      <c r="K430" s="1">
        <v>-7.77</v>
      </c>
      <c r="L430" s="1">
        <f t="shared" si="1"/>
        <v>-19381.26691</v>
      </c>
      <c r="M430" s="1" t="str">
        <f t="shared" si="2"/>
        <v>ON SALE</v>
      </c>
      <c r="N430" s="1">
        <f t="shared" si="3"/>
        <v>37.72206405</v>
      </c>
      <c r="O430" s="1">
        <f t="shared" si="4"/>
        <v>38.26962553</v>
      </c>
      <c r="P430" s="4">
        <f t="shared" si="5"/>
        <v>-0.04313279767</v>
      </c>
    </row>
    <row r="431" ht="15.75" customHeight="1">
      <c r="A431" s="3">
        <v>42067.0</v>
      </c>
      <c r="B431" s="1">
        <v>2015.0</v>
      </c>
      <c r="C431" s="1">
        <v>3.0</v>
      </c>
      <c r="D431" s="1" t="s">
        <v>19</v>
      </c>
      <c r="E431" s="1">
        <v>258211.4441676979</v>
      </c>
      <c r="F431" s="1">
        <v>278825.6066785365</v>
      </c>
      <c r="G431" s="1">
        <v>6843.0</v>
      </c>
      <c r="H431" s="1">
        <v>37.73</v>
      </c>
      <c r="I431" s="1">
        <v>40.75</v>
      </c>
      <c r="J431" s="1">
        <v>-3.01</v>
      </c>
      <c r="K431" s="1">
        <v>-7.98</v>
      </c>
      <c r="L431" s="1">
        <f t="shared" si="1"/>
        <v>-20614.16251</v>
      </c>
      <c r="M431" s="1" t="str">
        <f t="shared" si="2"/>
        <v>ON SALE</v>
      </c>
      <c r="N431" s="1">
        <f t="shared" si="3"/>
        <v>37.73366128</v>
      </c>
      <c r="O431" s="1">
        <f t="shared" si="4"/>
        <v>38.26393638</v>
      </c>
      <c r="P431" s="4">
        <f t="shared" si="5"/>
        <v>-0.04304793485</v>
      </c>
    </row>
    <row r="432" ht="15.75" customHeight="1">
      <c r="A432" s="3">
        <v>42068.0</v>
      </c>
      <c r="B432" s="1">
        <v>2015.0</v>
      </c>
      <c r="C432" s="1">
        <v>3.0</v>
      </c>
      <c r="D432" s="1" t="s">
        <v>19</v>
      </c>
      <c r="E432" s="1">
        <v>145975.83394282515</v>
      </c>
      <c r="F432" s="1">
        <v>157578.005866528</v>
      </c>
      <c r="G432" s="1">
        <v>3858.0</v>
      </c>
      <c r="H432" s="1">
        <v>37.84</v>
      </c>
      <c r="I432" s="1">
        <v>40.84</v>
      </c>
      <c r="J432" s="1">
        <v>-3.01</v>
      </c>
      <c r="K432" s="1">
        <v>-7.95</v>
      </c>
      <c r="L432" s="1">
        <f t="shared" si="1"/>
        <v>-11602.17192</v>
      </c>
      <c r="M432" s="1" t="str">
        <f t="shared" si="2"/>
        <v>ON SALE</v>
      </c>
      <c r="N432" s="1">
        <f t="shared" si="3"/>
        <v>37.83717832</v>
      </c>
      <c r="O432" s="1">
        <f t="shared" si="4"/>
        <v>38.25779018</v>
      </c>
      <c r="P432" s="4">
        <f t="shared" si="5"/>
        <v>-0.04295423523</v>
      </c>
    </row>
    <row r="433" ht="15.75" customHeight="1">
      <c r="A433" s="3">
        <v>42069.0</v>
      </c>
      <c r="B433" s="1">
        <v>2015.0</v>
      </c>
      <c r="C433" s="1">
        <v>3.0</v>
      </c>
      <c r="D433" s="1" t="s">
        <v>19</v>
      </c>
      <c r="E433" s="1">
        <v>269239.8525836682</v>
      </c>
      <c r="F433" s="1">
        <v>291365.01755439857</v>
      </c>
      <c r="G433" s="1">
        <v>7128.0</v>
      </c>
      <c r="H433" s="1">
        <v>37.77</v>
      </c>
      <c r="I433" s="1">
        <v>40.88</v>
      </c>
      <c r="J433" s="1">
        <v>-3.1</v>
      </c>
      <c r="K433" s="1">
        <v>-8.22</v>
      </c>
      <c r="L433" s="1">
        <f t="shared" si="1"/>
        <v>-22125.16497</v>
      </c>
      <c r="M433" s="1" t="str">
        <f t="shared" si="2"/>
        <v>ON SALE</v>
      </c>
      <c r="N433" s="1">
        <f t="shared" si="3"/>
        <v>37.77214542</v>
      </c>
      <c r="O433" s="1">
        <f t="shared" si="4"/>
        <v>38.25417407</v>
      </c>
      <c r="P433" s="4">
        <f t="shared" si="5"/>
        <v>-0.04290156308</v>
      </c>
    </row>
    <row r="434" ht="15.75" customHeight="1">
      <c r="A434" s="3">
        <v>42070.0</v>
      </c>
      <c r="B434" s="1">
        <v>2015.0</v>
      </c>
      <c r="C434" s="1">
        <v>3.0</v>
      </c>
      <c r="D434" s="1" t="s">
        <v>19</v>
      </c>
      <c r="E434" s="1">
        <v>306920.21160129213</v>
      </c>
      <c r="F434" s="1">
        <v>332242.411551486</v>
      </c>
      <c r="G434" s="1">
        <v>8127.0</v>
      </c>
      <c r="H434" s="1">
        <v>37.77</v>
      </c>
      <c r="I434" s="1">
        <v>40.88</v>
      </c>
      <c r="J434" s="1">
        <v>-3.12</v>
      </c>
      <c r="K434" s="1">
        <v>-8.25</v>
      </c>
      <c r="L434" s="1">
        <f t="shared" si="1"/>
        <v>-25322.19995</v>
      </c>
      <c r="M434" s="1" t="str">
        <f t="shared" si="2"/>
        <v>ON SALE</v>
      </c>
      <c r="N434" s="1">
        <f t="shared" si="3"/>
        <v>37.76549915</v>
      </c>
      <c r="O434" s="1">
        <f t="shared" si="4"/>
        <v>38.24738437</v>
      </c>
      <c r="P434" s="4">
        <f t="shared" si="5"/>
        <v>-0.04279682363</v>
      </c>
    </row>
    <row r="435" ht="15.75" customHeight="1">
      <c r="A435" s="3">
        <v>42071.0</v>
      </c>
      <c r="B435" s="1">
        <v>2015.0</v>
      </c>
      <c r="C435" s="1">
        <v>3.0</v>
      </c>
      <c r="D435" s="1" t="s">
        <v>19</v>
      </c>
      <c r="E435" s="1">
        <v>122106.79562238637</v>
      </c>
      <c r="F435" s="1">
        <v>121394.81220117224</v>
      </c>
      <c r="G435" s="1">
        <v>2966.0</v>
      </c>
      <c r="H435" s="1">
        <v>41.17</v>
      </c>
      <c r="I435" s="1">
        <v>40.93</v>
      </c>
      <c r="J435" s="1">
        <v>0.24</v>
      </c>
      <c r="K435" s="1">
        <v>0.58</v>
      </c>
      <c r="L435" s="1">
        <f t="shared" si="1"/>
        <v>711.9834212</v>
      </c>
      <c r="M435" s="1" t="str">
        <f t="shared" si="2"/>
        <v>Regular</v>
      </c>
      <c r="N435" s="1">
        <f t="shared" si="3"/>
        <v>41.16884546</v>
      </c>
      <c r="O435" s="1">
        <f t="shared" si="4"/>
        <v>38.23958469</v>
      </c>
      <c r="P435" s="4">
        <f t="shared" si="5"/>
        <v>-0.04267574286</v>
      </c>
    </row>
    <row r="436" ht="15.75" customHeight="1">
      <c r="A436" s="3">
        <v>42072.0</v>
      </c>
      <c r="B436" s="1">
        <v>2015.0</v>
      </c>
      <c r="C436" s="1">
        <v>3.0</v>
      </c>
      <c r="D436" s="1" t="s">
        <v>19</v>
      </c>
      <c r="E436" s="1">
        <v>117661.28079254708</v>
      </c>
      <c r="F436" s="1">
        <v>116861.15827355147</v>
      </c>
      <c r="G436" s="1">
        <v>2858.0</v>
      </c>
      <c r="H436" s="1">
        <v>41.17</v>
      </c>
      <c r="I436" s="1">
        <v>40.89</v>
      </c>
      <c r="J436" s="1">
        <v>0.28</v>
      </c>
      <c r="K436" s="1">
        <v>0.68</v>
      </c>
      <c r="L436" s="1">
        <f t="shared" si="1"/>
        <v>800.122519</v>
      </c>
      <c r="M436" s="1" t="str">
        <f t="shared" si="2"/>
        <v>Regular</v>
      </c>
      <c r="N436" s="1">
        <f t="shared" si="3"/>
        <v>41.16909755</v>
      </c>
      <c r="O436" s="1">
        <f t="shared" si="4"/>
        <v>38.23667526</v>
      </c>
      <c r="P436" s="4">
        <f t="shared" si="5"/>
        <v>-0.04273466063</v>
      </c>
    </row>
    <row r="437" ht="15.75" customHeight="1">
      <c r="A437" s="3">
        <v>42073.0</v>
      </c>
      <c r="B437" s="1">
        <v>2015.0</v>
      </c>
      <c r="C437" s="1">
        <v>3.0</v>
      </c>
      <c r="D437" s="1" t="s">
        <v>19</v>
      </c>
      <c r="E437" s="1">
        <v>62499.79917156037</v>
      </c>
      <c r="F437" s="1">
        <v>62073.87265416521</v>
      </c>
      <c r="G437" s="1">
        <v>1518.0</v>
      </c>
      <c r="H437" s="1">
        <v>41.17</v>
      </c>
      <c r="I437" s="1">
        <v>40.89</v>
      </c>
      <c r="J437" s="1">
        <v>0.28</v>
      </c>
      <c r="K437" s="1">
        <v>0.68</v>
      </c>
      <c r="L437" s="1">
        <f t="shared" si="1"/>
        <v>425.9265174</v>
      </c>
      <c r="M437" s="1" t="str">
        <f t="shared" si="2"/>
        <v>Regular</v>
      </c>
      <c r="N437" s="1">
        <f t="shared" si="3"/>
        <v>41.17246322</v>
      </c>
      <c r="O437" s="1">
        <f t="shared" si="4"/>
        <v>38.23390719</v>
      </c>
      <c r="P437" s="4">
        <f t="shared" si="5"/>
        <v>-0.04279270488</v>
      </c>
    </row>
    <row r="438" ht="15.75" customHeight="1">
      <c r="A438" s="3">
        <v>42074.0</v>
      </c>
      <c r="B438" s="1">
        <v>2015.0</v>
      </c>
      <c r="C438" s="1">
        <v>3.0</v>
      </c>
      <c r="D438" s="1" t="s">
        <v>19</v>
      </c>
      <c r="E438" s="1">
        <v>57063.98412427037</v>
      </c>
      <c r="F438" s="1">
        <v>56638.28137060811</v>
      </c>
      <c r="G438" s="1">
        <v>1386.0</v>
      </c>
      <c r="H438" s="1">
        <v>41.17</v>
      </c>
      <c r="I438" s="1">
        <v>40.86</v>
      </c>
      <c r="J438" s="1">
        <v>0.31</v>
      </c>
      <c r="K438" s="1">
        <v>0.75</v>
      </c>
      <c r="L438" s="1">
        <f t="shared" si="1"/>
        <v>425.7027537</v>
      </c>
      <c r="M438" s="1" t="str">
        <f t="shared" si="2"/>
        <v>Regular</v>
      </c>
      <c r="N438" s="1">
        <f t="shared" si="3"/>
        <v>41.17170572</v>
      </c>
      <c r="O438" s="1">
        <f t="shared" si="4"/>
        <v>38.23243309</v>
      </c>
      <c r="P438" s="4">
        <f t="shared" si="5"/>
        <v>-0.04282360152</v>
      </c>
    </row>
    <row r="439" ht="15.75" customHeight="1">
      <c r="A439" s="3">
        <v>42075.0</v>
      </c>
      <c r="B439" s="1">
        <v>2015.0</v>
      </c>
      <c r="C439" s="1">
        <v>3.0</v>
      </c>
      <c r="D439" s="1" t="s">
        <v>19</v>
      </c>
      <c r="E439" s="1">
        <v>48008.48284166025</v>
      </c>
      <c r="F439" s="1">
        <v>47681.67207887158</v>
      </c>
      <c r="G439" s="1">
        <v>1166.0</v>
      </c>
      <c r="H439" s="1">
        <v>41.17</v>
      </c>
      <c r="I439" s="1">
        <v>40.89</v>
      </c>
      <c r="J439" s="1">
        <v>0.28</v>
      </c>
      <c r="K439" s="1">
        <v>0.68</v>
      </c>
      <c r="L439" s="1">
        <f t="shared" si="1"/>
        <v>326.8107628</v>
      </c>
      <c r="M439" s="1" t="str">
        <f t="shared" si="2"/>
        <v>Regular</v>
      </c>
      <c r="N439" s="1">
        <f t="shared" si="3"/>
        <v>41.17365595</v>
      </c>
      <c r="O439" s="1">
        <f t="shared" si="4"/>
        <v>38.23109958</v>
      </c>
      <c r="P439" s="4">
        <f t="shared" si="5"/>
        <v>-0.04285221174</v>
      </c>
    </row>
    <row r="440" ht="15.75" customHeight="1">
      <c r="A440" s="3">
        <v>42076.0</v>
      </c>
      <c r="B440" s="1">
        <v>2015.0</v>
      </c>
      <c r="C440" s="1">
        <v>3.0</v>
      </c>
      <c r="D440" s="1" t="s">
        <v>19</v>
      </c>
      <c r="E440" s="1">
        <v>117446.8391133083</v>
      </c>
      <c r="F440" s="1">
        <v>116681.14155165869</v>
      </c>
      <c r="G440" s="1">
        <v>2853.0</v>
      </c>
      <c r="H440" s="1">
        <v>41.17</v>
      </c>
      <c r="I440" s="1">
        <v>40.9</v>
      </c>
      <c r="J440" s="1">
        <v>0.27</v>
      </c>
      <c r="K440" s="1">
        <v>0.65</v>
      </c>
      <c r="L440" s="1">
        <f t="shared" si="1"/>
        <v>765.6975616</v>
      </c>
      <c r="M440" s="1" t="str">
        <f t="shared" si="2"/>
        <v>Regular</v>
      </c>
      <c r="N440" s="1">
        <f t="shared" si="3"/>
        <v>41.16608451</v>
      </c>
      <c r="O440" s="1">
        <f t="shared" si="4"/>
        <v>38.2299644</v>
      </c>
      <c r="P440" s="4">
        <f t="shared" si="5"/>
        <v>-0.04287599443</v>
      </c>
    </row>
    <row r="441" ht="15.75" customHeight="1">
      <c r="A441" s="3">
        <v>42077.0</v>
      </c>
      <c r="B441" s="1">
        <v>2015.0</v>
      </c>
      <c r="C441" s="1">
        <v>3.0</v>
      </c>
      <c r="D441" s="1" t="s">
        <v>19</v>
      </c>
      <c r="E441" s="1">
        <v>150591.54790083517</v>
      </c>
      <c r="F441" s="1">
        <v>149573.8275926896</v>
      </c>
      <c r="G441" s="1">
        <v>3657.0</v>
      </c>
      <c r="H441" s="1">
        <v>41.18</v>
      </c>
      <c r="I441" s="1">
        <v>40.9</v>
      </c>
      <c r="J441" s="1">
        <v>0.28</v>
      </c>
      <c r="K441" s="1">
        <v>0.68</v>
      </c>
      <c r="L441" s="1">
        <f t="shared" si="1"/>
        <v>1017.720308</v>
      </c>
      <c r="M441" s="1" t="str">
        <f t="shared" si="2"/>
        <v>Regular</v>
      </c>
      <c r="N441" s="1">
        <f t="shared" si="3"/>
        <v>41.17898493</v>
      </c>
      <c r="O441" s="1">
        <f t="shared" si="4"/>
        <v>38.22717822</v>
      </c>
      <c r="P441" s="4">
        <f t="shared" si="5"/>
        <v>-0.04293393435</v>
      </c>
    </row>
    <row r="442" ht="15.75" customHeight="1">
      <c r="A442" s="3">
        <v>42078.0</v>
      </c>
      <c r="B442" s="1">
        <v>2015.0</v>
      </c>
      <c r="C442" s="1">
        <v>3.0</v>
      </c>
      <c r="D442" s="1" t="s">
        <v>19</v>
      </c>
      <c r="E442" s="1">
        <v>67152.47495364037</v>
      </c>
      <c r="F442" s="1">
        <v>66802.98321783988</v>
      </c>
      <c r="G442" s="1">
        <v>1631.0</v>
      </c>
      <c r="H442" s="1">
        <v>41.17</v>
      </c>
      <c r="I442" s="1">
        <v>40.96</v>
      </c>
      <c r="J442" s="1">
        <v>0.21</v>
      </c>
      <c r="K442" s="1">
        <v>0.52</v>
      </c>
      <c r="L442" s="1">
        <f t="shared" si="1"/>
        <v>349.4917358</v>
      </c>
      <c r="M442" s="1" t="str">
        <f t="shared" si="2"/>
        <v>Regular</v>
      </c>
      <c r="N442" s="1">
        <f t="shared" si="3"/>
        <v>41.17257814</v>
      </c>
      <c r="O442" s="1">
        <f t="shared" si="4"/>
        <v>38.22359434</v>
      </c>
      <c r="P442" s="4">
        <f t="shared" si="5"/>
        <v>-0.04300878412</v>
      </c>
    </row>
    <row r="443" ht="15.75" customHeight="1">
      <c r="A443" s="3">
        <v>42079.0</v>
      </c>
      <c r="B443" s="1">
        <v>2015.0</v>
      </c>
      <c r="C443" s="1">
        <v>3.0</v>
      </c>
      <c r="D443" s="1" t="s">
        <v>19</v>
      </c>
      <c r="E443" s="1">
        <v>80635.28924859049</v>
      </c>
      <c r="F443" s="1">
        <v>80121.2905225416</v>
      </c>
      <c r="G443" s="1">
        <v>1959.0</v>
      </c>
      <c r="H443" s="1">
        <v>41.16</v>
      </c>
      <c r="I443" s="1">
        <v>40.9</v>
      </c>
      <c r="J443" s="1">
        <v>0.26</v>
      </c>
      <c r="K443" s="1">
        <v>0.64</v>
      </c>
      <c r="L443" s="1">
        <f t="shared" si="1"/>
        <v>513.998726</v>
      </c>
      <c r="M443" s="1" t="str">
        <f t="shared" si="2"/>
        <v>Regular</v>
      </c>
      <c r="N443" s="1">
        <f t="shared" si="3"/>
        <v>41.16145444</v>
      </c>
      <c r="O443" s="1">
        <f t="shared" si="4"/>
        <v>38.22195839</v>
      </c>
      <c r="P443" s="4">
        <f t="shared" si="5"/>
        <v>-0.04304118992</v>
      </c>
    </row>
    <row r="444" ht="15.75" customHeight="1">
      <c r="A444" s="3">
        <v>42080.0</v>
      </c>
      <c r="B444" s="1">
        <v>2015.0</v>
      </c>
      <c r="C444" s="1">
        <v>3.0</v>
      </c>
      <c r="D444" s="1" t="s">
        <v>19</v>
      </c>
      <c r="E444" s="1">
        <v>50669.63709834037</v>
      </c>
      <c r="F444" s="1">
        <v>50308.957054208026</v>
      </c>
      <c r="G444" s="1">
        <v>1230.0</v>
      </c>
      <c r="H444" s="1">
        <v>41.19</v>
      </c>
      <c r="I444" s="1">
        <v>40.9</v>
      </c>
      <c r="J444" s="1">
        <v>0.29</v>
      </c>
      <c r="K444" s="1">
        <v>0.71</v>
      </c>
      <c r="L444" s="1">
        <f t="shared" si="1"/>
        <v>360.6800441</v>
      </c>
      <c r="M444" s="1" t="str">
        <f t="shared" si="2"/>
        <v>Regular</v>
      </c>
      <c r="N444" s="1">
        <f t="shared" si="3"/>
        <v>41.19482691</v>
      </c>
      <c r="O444" s="1">
        <f t="shared" si="4"/>
        <v>38.22003344</v>
      </c>
      <c r="P444" s="4">
        <f t="shared" si="5"/>
        <v>-0.04308110472</v>
      </c>
    </row>
    <row r="445" ht="15.75" customHeight="1">
      <c r="A445" s="3">
        <v>42081.0</v>
      </c>
      <c r="B445" s="1">
        <v>2015.0</v>
      </c>
      <c r="C445" s="1">
        <v>3.0</v>
      </c>
      <c r="D445" s="1" t="s">
        <v>19</v>
      </c>
      <c r="E445" s="1">
        <v>48648.99266494025</v>
      </c>
      <c r="F445" s="1">
        <v>48362.06879194777</v>
      </c>
      <c r="G445" s="1">
        <v>1182.0</v>
      </c>
      <c r="H445" s="1">
        <v>41.16</v>
      </c>
      <c r="I445" s="1">
        <v>40.92</v>
      </c>
      <c r="J445" s="1">
        <v>0.24</v>
      </c>
      <c r="K445" s="1">
        <v>0.59</v>
      </c>
      <c r="L445" s="1">
        <f t="shared" si="1"/>
        <v>286.923873</v>
      </c>
      <c r="M445" s="1" t="str">
        <f t="shared" si="2"/>
        <v>Regular</v>
      </c>
      <c r="N445" s="1">
        <f t="shared" si="3"/>
        <v>41.15820022</v>
      </c>
      <c r="O445" s="1">
        <f t="shared" si="4"/>
        <v>38.21882226</v>
      </c>
      <c r="P445" s="4">
        <f t="shared" si="5"/>
        <v>-0.04310659718</v>
      </c>
    </row>
    <row r="446" ht="15.75" customHeight="1">
      <c r="A446" s="3">
        <v>42082.0</v>
      </c>
      <c r="B446" s="1">
        <v>2015.0</v>
      </c>
      <c r="C446" s="1">
        <v>3.0</v>
      </c>
      <c r="D446" s="1" t="s">
        <v>19</v>
      </c>
      <c r="E446" s="1">
        <v>43213.177617650246</v>
      </c>
      <c r="F446" s="1">
        <v>42981.21684775456</v>
      </c>
      <c r="G446" s="1">
        <v>1050.0</v>
      </c>
      <c r="H446" s="1">
        <v>41.16</v>
      </c>
      <c r="I446" s="1">
        <v>40.93</v>
      </c>
      <c r="J446" s="1">
        <v>0.22</v>
      </c>
      <c r="K446" s="1">
        <v>0.54</v>
      </c>
      <c r="L446" s="1">
        <f t="shared" si="1"/>
        <v>231.9607699</v>
      </c>
      <c r="M446" s="1" t="str">
        <f t="shared" si="2"/>
        <v>Regular</v>
      </c>
      <c r="N446" s="1">
        <f t="shared" si="3"/>
        <v>41.15540725</v>
      </c>
      <c r="O446" s="1">
        <f t="shared" si="4"/>
        <v>38.2176513</v>
      </c>
      <c r="P446" s="4">
        <f t="shared" si="5"/>
        <v>-0.04313050207</v>
      </c>
    </row>
    <row r="447" ht="15.75" customHeight="1">
      <c r="A447" s="3">
        <v>42083.0</v>
      </c>
      <c r="B447" s="1">
        <v>2015.0</v>
      </c>
      <c r="C447" s="1">
        <v>3.0</v>
      </c>
      <c r="D447" s="1" t="s">
        <v>19</v>
      </c>
      <c r="E447" s="1">
        <v>96881.0180945894</v>
      </c>
      <c r="F447" s="1">
        <v>96453.2872848832</v>
      </c>
      <c r="G447" s="1">
        <v>2353.0</v>
      </c>
      <c r="H447" s="1">
        <v>41.17</v>
      </c>
      <c r="I447" s="1">
        <v>40.99</v>
      </c>
      <c r="J447" s="1">
        <v>0.18</v>
      </c>
      <c r="K447" s="1">
        <v>0.44</v>
      </c>
      <c r="L447" s="1">
        <f t="shared" si="1"/>
        <v>427.7308097</v>
      </c>
      <c r="M447" s="1" t="str">
        <f t="shared" si="2"/>
        <v>Regular</v>
      </c>
      <c r="N447" s="1">
        <f t="shared" si="3"/>
        <v>41.17340336</v>
      </c>
      <c r="O447" s="1">
        <f t="shared" si="4"/>
        <v>38.21660291</v>
      </c>
      <c r="P447" s="4">
        <f t="shared" si="5"/>
        <v>-0.04315152574</v>
      </c>
    </row>
    <row r="448" ht="15.75" customHeight="1">
      <c r="A448" s="3">
        <v>42084.0</v>
      </c>
      <c r="B448" s="1">
        <v>2015.0</v>
      </c>
      <c r="C448" s="1">
        <v>3.0</v>
      </c>
      <c r="D448" s="1" t="s">
        <v>19</v>
      </c>
      <c r="E448" s="1">
        <v>121360.88514123637</v>
      </c>
      <c r="F448" s="1">
        <v>120829.28797107039</v>
      </c>
      <c r="G448" s="1">
        <v>2947.0</v>
      </c>
      <c r="H448" s="1">
        <v>41.18</v>
      </c>
      <c r="I448" s="1">
        <v>41.0</v>
      </c>
      <c r="J448" s="1">
        <v>0.18</v>
      </c>
      <c r="K448" s="1">
        <v>0.44</v>
      </c>
      <c r="L448" s="1">
        <f t="shared" si="1"/>
        <v>531.5971702</v>
      </c>
      <c r="M448" s="1" t="str">
        <f t="shared" si="2"/>
        <v>Regular</v>
      </c>
      <c r="N448" s="1">
        <f t="shared" si="3"/>
        <v>41.18116225</v>
      </c>
      <c r="O448" s="1">
        <f t="shared" si="4"/>
        <v>38.21420113</v>
      </c>
      <c r="P448" s="4">
        <f t="shared" si="5"/>
        <v>-0.0431977988</v>
      </c>
    </row>
    <row r="449" ht="15.75" customHeight="1">
      <c r="A449" s="3">
        <v>42085.0</v>
      </c>
      <c r="B449" s="1">
        <v>2015.0</v>
      </c>
      <c r="C449" s="1">
        <v>3.0</v>
      </c>
      <c r="D449" s="1" t="s">
        <v>19</v>
      </c>
      <c r="E449" s="1">
        <v>66954.36637197038</v>
      </c>
      <c r="F449" s="1">
        <v>66756.37644364212</v>
      </c>
      <c r="G449" s="1">
        <v>1626.0</v>
      </c>
      <c r="H449" s="1">
        <v>41.18</v>
      </c>
      <c r="I449" s="1">
        <v>41.06</v>
      </c>
      <c r="J449" s="1">
        <v>0.12</v>
      </c>
      <c r="K449" s="1">
        <v>0.3</v>
      </c>
      <c r="L449" s="1">
        <f t="shared" si="1"/>
        <v>197.9899283</v>
      </c>
      <c r="M449" s="1" t="str">
        <f t="shared" si="2"/>
        <v>Regular</v>
      </c>
      <c r="N449" s="1">
        <f t="shared" si="3"/>
        <v>41.17734709</v>
      </c>
      <c r="O449" s="1">
        <f t="shared" si="4"/>
        <v>38.21117722</v>
      </c>
      <c r="P449" s="4">
        <f t="shared" si="5"/>
        <v>-0.04325584894</v>
      </c>
    </row>
    <row r="450" ht="15.75" customHeight="1">
      <c r="A450" s="3">
        <v>42086.0</v>
      </c>
      <c r="B450" s="1">
        <v>2015.0</v>
      </c>
      <c r="C450" s="1">
        <v>3.0</v>
      </c>
      <c r="D450" s="1" t="s">
        <v>19</v>
      </c>
      <c r="E450" s="1">
        <v>81342.15076393037</v>
      </c>
      <c r="F450" s="1">
        <v>81132.01289723592</v>
      </c>
      <c r="G450" s="1">
        <v>1976.0</v>
      </c>
      <c r="H450" s="1">
        <v>41.17</v>
      </c>
      <c r="I450" s="1">
        <v>41.06</v>
      </c>
      <c r="J450" s="1">
        <v>0.11</v>
      </c>
      <c r="K450" s="1">
        <v>0.26</v>
      </c>
      <c r="L450" s="1">
        <f t="shared" si="1"/>
        <v>210.1378667</v>
      </c>
      <c r="M450" s="1" t="str">
        <f t="shared" si="2"/>
        <v>Regular</v>
      </c>
      <c r="N450" s="1">
        <f t="shared" si="3"/>
        <v>41.16505605</v>
      </c>
      <c r="O450" s="1">
        <f t="shared" si="4"/>
        <v>38.20947315</v>
      </c>
      <c r="P450" s="4">
        <f t="shared" si="5"/>
        <v>-0.04328697703</v>
      </c>
    </row>
    <row r="451" ht="15.75" customHeight="1">
      <c r="A451" s="3">
        <v>42087.0</v>
      </c>
      <c r="B451" s="1">
        <v>2015.0</v>
      </c>
      <c r="C451" s="1">
        <v>3.0</v>
      </c>
      <c r="D451" s="1" t="s">
        <v>19</v>
      </c>
      <c r="E451" s="1">
        <v>125060.70791173638</v>
      </c>
      <c r="F451" s="1">
        <v>136375.15271351667</v>
      </c>
      <c r="G451" s="1">
        <v>3312.0</v>
      </c>
      <c r="H451" s="1">
        <v>37.76</v>
      </c>
      <c r="I451" s="1">
        <v>41.18</v>
      </c>
      <c r="J451" s="1">
        <v>-3.42</v>
      </c>
      <c r="K451" s="1">
        <v>-9.05</v>
      </c>
      <c r="L451" s="1">
        <f t="shared" si="1"/>
        <v>-11314.4448</v>
      </c>
      <c r="M451" s="1" t="str">
        <f t="shared" si="2"/>
        <v>ON SALE</v>
      </c>
      <c r="N451" s="1">
        <f t="shared" si="3"/>
        <v>37.75987558</v>
      </c>
      <c r="O451" s="1">
        <f t="shared" si="4"/>
        <v>38.20739723</v>
      </c>
      <c r="P451" s="4">
        <f t="shared" si="5"/>
        <v>-0.04332454461</v>
      </c>
    </row>
    <row r="452" ht="15.75" customHeight="1">
      <c r="A452" s="3">
        <v>42088.0</v>
      </c>
      <c r="B452" s="1">
        <v>2015.0</v>
      </c>
      <c r="C452" s="1">
        <v>3.0</v>
      </c>
      <c r="D452" s="1" t="s">
        <v>19</v>
      </c>
      <c r="E452" s="1">
        <v>253218.83124198424</v>
      </c>
      <c r="F452" s="1">
        <v>276194.8294840427</v>
      </c>
      <c r="G452" s="1">
        <v>6704.0</v>
      </c>
      <c r="H452" s="1">
        <v>37.77</v>
      </c>
      <c r="I452" s="1">
        <v>41.2</v>
      </c>
      <c r="J452" s="1">
        <v>-3.43</v>
      </c>
      <c r="K452" s="1">
        <v>-9.07</v>
      </c>
      <c r="L452" s="1">
        <f t="shared" si="1"/>
        <v>-22975.99824</v>
      </c>
      <c r="M452" s="1" t="str">
        <f t="shared" si="2"/>
        <v>ON SALE</v>
      </c>
      <c r="N452" s="1">
        <f t="shared" si="3"/>
        <v>37.77130538</v>
      </c>
      <c r="O452" s="1">
        <f t="shared" si="4"/>
        <v>38.20376748</v>
      </c>
      <c r="P452" s="4">
        <f t="shared" si="5"/>
        <v>-0.04326510331</v>
      </c>
    </row>
    <row r="453" ht="15.75" customHeight="1">
      <c r="A453" s="3">
        <v>42089.0</v>
      </c>
      <c r="B453" s="1">
        <v>2015.0</v>
      </c>
      <c r="C453" s="1">
        <v>3.0</v>
      </c>
      <c r="D453" s="1" t="s">
        <v>19</v>
      </c>
      <c r="E453" s="1">
        <v>229184.47188046668</v>
      </c>
      <c r="F453" s="1">
        <v>250361.15020932571</v>
      </c>
      <c r="G453" s="1">
        <v>6077.0</v>
      </c>
      <c r="H453" s="1">
        <v>37.71</v>
      </c>
      <c r="I453" s="1">
        <v>41.2</v>
      </c>
      <c r="J453" s="1">
        <v>-3.48</v>
      </c>
      <c r="K453" s="1">
        <v>-9.24</v>
      </c>
      <c r="L453" s="1">
        <f t="shared" si="1"/>
        <v>-21176.67833</v>
      </c>
      <c r="M453" s="1" t="str">
        <f t="shared" si="2"/>
        <v>ON SALE</v>
      </c>
      <c r="N453" s="1">
        <f t="shared" si="3"/>
        <v>37.71342305</v>
      </c>
      <c r="O453" s="1">
        <f t="shared" si="4"/>
        <v>38.19633739</v>
      </c>
      <c r="P453" s="4">
        <f t="shared" si="5"/>
        <v>-0.0431436124</v>
      </c>
    </row>
    <row r="454" ht="15.75" customHeight="1">
      <c r="A454" s="3">
        <v>42090.0</v>
      </c>
      <c r="B454" s="1">
        <v>2015.0</v>
      </c>
      <c r="C454" s="1">
        <v>3.0</v>
      </c>
      <c r="D454" s="1" t="s">
        <v>19</v>
      </c>
      <c r="E454" s="1">
        <v>354191.35095056973</v>
      </c>
      <c r="F454" s="1">
        <v>386464.6513269861</v>
      </c>
      <c r="G454" s="1">
        <v>9386.0</v>
      </c>
      <c r="H454" s="1">
        <v>37.74</v>
      </c>
      <c r="I454" s="1">
        <v>41.17</v>
      </c>
      <c r="J454" s="1">
        <v>-3.44</v>
      </c>
      <c r="K454" s="1">
        <v>-9.11</v>
      </c>
      <c r="L454" s="1">
        <f t="shared" si="1"/>
        <v>-32273.30038</v>
      </c>
      <c r="M454" s="1" t="str">
        <f t="shared" si="2"/>
        <v>ON SALE</v>
      </c>
      <c r="N454" s="1">
        <f t="shared" si="3"/>
        <v>37.7361337</v>
      </c>
      <c r="O454" s="1">
        <f t="shared" si="4"/>
        <v>38.18957109</v>
      </c>
      <c r="P454" s="4">
        <f t="shared" si="5"/>
        <v>-0.04302925114</v>
      </c>
    </row>
    <row r="455" ht="15.75" customHeight="1">
      <c r="A455" s="3">
        <v>42091.0</v>
      </c>
      <c r="B455" s="1">
        <v>2015.0</v>
      </c>
      <c r="C455" s="1">
        <v>3.0</v>
      </c>
      <c r="D455" s="1" t="s">
        <v>19</v>
      </c>
      <c r="E455" s="1">
        <v>459484.66663548636</v>
      </c>
      <c r="F455" s="1">
        <v>501362.5724903483</v>
      </c>
      <c r="G455" s="1">
        <v>12181.0</v>
      </c>
      <c r="H455" s="1">
        <v>37.72</v>
      </c>
      <c r="I455" s="1">
        <v>41.16</v>
      </c>
      <c r="J455" s="1">
        <v>-3.44</v>
      </c>
      <c r="K455" s="1">
        <v>-9.11</v>
      </c>
      <c r="L455" s="1">
        <f t="shared" si="1"/>
        <v>-41877.90585</v>
      </c>
      <c r="M455" s="1" t="str">
        <f t="shared" si="2"/>
        <v>ON SALE</v>
      </c>
      <c r="N455" s="1">
        <f t="shared" si="3"/>
        <v>37.72142407</v>
      </c>
      <c r="O455" s="1">
        <f t="shared" si="4"/>
        <v>38.17914265</v>
      </c>
      <c r="P455" s="4">
        <f t="shared" si="5"/>
        <v>-0.04285608029</v>
      </c>
    </row>
    <row r="456" ht="15.75" customHeight="1">
      <c r="A456" s="3">
        <v>42092.0</v>
      </c>
      <c r="B456" s="1">
        <v>2015.0</v>
      </c>
      <c r="C456" s="1">
        <v>3.0</v>
      </c>
      <c r="D456" s="1" t="s">
        <v>19</v>
      </c>
      <c r="E456" s="1">
        <v>224102.88847081424</v>
      </c>
      <c r="F456" s="1">
        <v>244359.80746223294</v>
      </c>
      <c r="G456" s="1">
        <v>5937.0</v>
      </c>
      <c r="H456" s="1">
        <v>37.75</v>
      </c>
      <c r="I456" s="1">
        <v>41.16</v>
      </c>
      <c r="J456" s="1">
        <v>-3.41</v>
      </c>
      <c r="K456" s="1">
        <v>-9.04</v>
      </c>
      <c r="L456" s="1">
        <f t="shared" si="1"/>
        <v>-20256.91899</v>
      </c>
      <c r="M456" s="1" t="str">
        <f t="shared" si="2"/>
        <v>ON SALE</v>
      </c>
      <c r="N456" s="1">
        <f t="shared" si="3"/>
        <v>37.74682305</v>
      </c>
      <c r="O456" s="1">
        <f t="shared" si="4"/>
        <v>38.16556883</v>
      </c>
      <c r="P456" s="4">
        <f t="shared" si="5"/>
        <v>-0.04262945552</v>
      </c>
    </row>
    <row r="457" ht="15.75" customHeight="1">
      <c r="A457" s="3">
        <v>42093.0</v>
      </c>
      <c r="B457" s="1">
        <v>2015.0</v>
      </c>
      <c r="C457" s="1">
        <v>3.0</v>
      </c>
      <c r="D457" s="1" t="s">
        <v>19</v>
      </c>
      <c r="E457" s="1">
        <v>215203.5587823579</v>
      </c>
      <c r="F457" s="1">
        <v>234819.44742668918</v>
      </c>
      <c r="G457" s="1">
        <v>5706.0</v>
      </c>
      <c r="H457" s="1">
        <v>37.72</v>
      </c>
      <c r="I457" s="1">
        <v>41.15</v>
      </c>
      <c r="J457" s="1">
        <v>-3.44</v>
      </c>
      <c r="K457" s="1">
        <v>-9.12</v>
      </c>
      <c r="L457" s="1">
        <f t="shared" si="1"/>
        <v>-19615.88864</v>
      </c>
      <c r="M457" s="1" t="str">
        <f t="shared" si="2"/>
        <v>ON SALE</v>
      </c>
      <c r="N457" s="1">
        <f t="shared" si="3"/>
        <v>37.71530999</v>
      </c>
      <c r="O457" s="1">
        <f t="shared" si="4"/>
        <v>38.15890936</v>
      </c>
      <c r="P457" s="4">
        <f t="shared" si="5"/>
        <v>-0.04251987153</v>
      </c>
    </row>
    <row r="458" ht="15.75" customHeight="1">
      <c r="A458" s="3">
        <v>42094.0</v>
      </c>
      <c r="B458" s="1">
        <v>2015.0</v>
      </c>
      <c r="C458" s="1">
        <v>3.0</v>
      </c>
      <c r="D458" s="1" t="s">
        <v>19</v>
      </c>
      <c r="E458" s="1">
        <v>355534.912042067</v>
      </c>
      <c r="F458" s="1">
        <v>386988.9147484839</v>
      </c>
      <c r="G458" s="1">
        <v>9421.0</v>
      </c>
      <c r="H458" s="1">
        <v>37.74</v>
      </c>
      <c r="I458" s="1">
        <v>41.08</v>
      </c>
      <c r="J458" s="1">
        <v>-3.34</v>
      </c>
      <c r="K458" s="1">
        <v>-8.85</v>
      </c>
      <c r="L458" s="1">
        <f t="shared" si="1"/>
        <v>-31454.00271</v>
      </c>
      <c r="M458" s="1" t="str">
        <f t="shared" si="2"/>
        <v>ON SALE</v>
      </c>
      <c r="N458" s="1">
        <f t="shared" si="3"/>
        <v>37.73855345</v>
      </c>
      <c r="O458" s="1">
        <f t="shared" si="4"/>
        <v>38.1524933</v>
      </c>
      <c r="P458" s="4">
        <f t="shared" si="5"/>
        <v>-0.04241248837</v>
      </c>
    </row>
    <row r="459" ht="15.75" customHeight="1">
      <c r="A459" s="3">
        <v>42095.0</v>
      </c>
      <c r="B459" s="1">
        <v>2015.0</v>
      </c>
      <c r="C459" s="1">
        <v>4.0</v>
      </c>
      <c r="D459" s="1" t="s">
        <v>20</v>
      </c>
      <c r="E459" s="1">
        <v>498894.3439301564</v>
      </c>
      <c r="F459" s="1">
        <v>542483.8358055089</v>
      </c>
      <c r="G459" s="1">
        <v>13207.0</v>
      </c>
      <c r="H459" s="1">
        <v>37.77</v>
      </c>
      <c r="I459" s="1">
        <v>41.08</v>
      </c>
      <c r="J459" s="1">
        <v>-3.3</v>
      </c>
      <c r="K459" s="1">
        <v>-8.74</v>
      </c>
      <c r="L459" s="1">
        <f t="shared" si="1"/>
        <v>-43589.49188</v>
      </c>
      <c r="M459" s="1" t="str">
        <f t="shared" si="2"/>
        <v>ON SALE</v>
      </c>
      <c r="N459" s="1">
        <f t="shared" si="3"/>
        <v>37.77499386</v>
      </c>
      <c r="O459" s="1">
        <f t="shared" si="4"/>
        <v>38.14210871</v>
      </c>
      <c r="P459" s="4">
        <f t="shared" si="5"/>
        <v>-0.04224385512</v>
      </c>
    </row>
    <row r="460" ht="15.75" customHeight="1">
      <c r="A460" s="3">
        <v>42096.0</v>
      </c>
      <c r="B460" s="1">
        <v>2015.0</v>
      </c>
      <c r="C460" s="1">
        <v>4.0</v>
      </c>
      <c r="D460" s="1" t="s">
        <v>20</v>
      </c>
      <c r="E460" s="1">
        <v>715032.189870243</v>
      </c>
      <c r="F460" s="1">
        <v>777522.1927510158</v>
      </c>
      <c r="G460" s="1">
        <v>18936.0</v>
      </c>
      <c r="H460" s="1">
        <v>37.76</v>
      </c>
      <c r="I460" s="1">
        <v>41.06</v>
      </c>
      <c r="J460" s="1">
        <v>-3.3</v>
      </c>
      <c r="K460" s="1">
        <v>-8.74</v>
      </c>
      <c r="L460" s="1">
        <f t="shared" si="1"/>
        <v>-62490.00288</v>
      </c>
      <c r="M460" s="1" t="str">
        <f t="shared" si="2"/>
        <v>ON SALE</v>
      </c>
      <c r="N460" s="1">
        <f t="shared" si="3"/>
        <v>37.7604663</v>
      </c>
      <c r="O460" s="1">
        <f t="shared" si="4"/>
        <v>38.12743505</v>
      </c>
      <c r="P460" s="4">
        <f t="shared" si="5"/>
        <v>-0.04201079928</v>
      </c>
    </row>
    <row r="461" ht="15.75" customHeight="1">
      <c r="A461" s="3">
        <v>42097.0</v>
      </c>
      <c r="B461" s="1">
        <v>2015.0</v>
      </c>
      <c r="C461" s="1">
        <v>4.0</v>
      </c>
      <c r="D461" s="1" t="s">
        <v>20</v>
      </c>
      <c r="E461" s="1">
        <v>510289.2156051291</v>
      </c>
      <c r="F461" s="1">
        <v>554159.8194134269</v>
      </c>
      <c r="G461" s="1">
        <v>13503.0</v>
      </c>
      <c r="H461" s="1">
        <v>37.79</v>
      </c>
      <c r="I461" s="1">
        <v>41.04</v>
      </c>
      <c r="J461" s="1">
        <v>-3.25</v>
      </c>
      <c r="K461" s="1">
        <v>-8.6</v>
      </c>
      <c r="L461" s="1">
        <f t="shared" si="1"/>
        <v>-43870.60381</v>
      </c>
      <c r="M461" s="1" t="str">
        <f t="shared" si="2"/>
        <v>ON SALE</v>
      </c>
      <c r="N461" s="1">
        <f t="shared" si="3"/>
        <v>37.7908032</v>
      </c>
      <c r="O461" s="1">
        <f t="shared" si="4"/>
        <v>38.10624618</v>
      </c>
      <c r="P461" s="4">
        <f t="shared" si="5"/>
        <v>-0.04167237957</v>
      </c>
    </row>
    <row r="462" ht="15.75" customHeight="1">
      <c r="A462" s="3">
        <v>42098.0</v>
      </c>
      <c r="B462" s="1">
        <v>2015.0</v>
      </c>
      <c r="C462" s="1">
        <v>4.0</v>
      </c>
      <c r="D462" s="1" t="s">
        <v>20</v>
      </c>
      <c r="E462" s="1">
        <v>400302.03949241096</v>
      </c>
      <c r="F462" s="1">
        <v>434872.7289103458</v>
      </c>
      <c r="G462" s="1">
        <v>10600.0</v>
      </c>
      <c r="H462" s="1">
        <v>37.76</v>
      </c>
      <c r="I462" s="1">
        <v>41.03</v>
      </c>
      <c r="J462" s="1">
        <v>-3.26</v>
      </c>
      <c r="K462" s="1">
        <v>-8.64</v>
      </c>
      <c r="L462" s="1">
        <f t="shared" si="1"/>
        <v>-34570.68942</v>
      </c>
      <c r="M462" s="1" t="str">
        <f t="shared" si="2"/>
        <v>ON SALE</v>
      </c>
      <c r="N462" s="1">
        <f t="shared" si="3"/>
        <v>37.76434335</v>
      </c>
      <c r="O462" s="1">
        <f t="shared" si="4"/>
        <v>38.0910563</v>
      </c>
      <c r="P462" s="4">
        <f t="shared" si="5"/>
        <v>-0.04143537178</v>
      </c>
    </row>
    <row r="463" ht="15.75" customHeight="1">
      <c r="A463" s="3">
        <v>42099.0</v>
      </c>
      <c r="B463" s="1">
        <v>2015.0</v>
      </c>
      <c r="C463" s="1">
        <v>4.0</v>
      </c>
      <c r="D463" s="1" t="s">
        <v>20</v>
      </c>
      <c r="E463" s="1">
        <v>135578.2034450376</v>
      </c>
      <c r="F463" s="1">
        <v>147335.92505366588</v>
      </c>
      <c r="G463" s="1">
        <v>3591.0</v>
      </c>
      <c r="H463" s="1">
        <v>37.75</v>
      </c>
      <c r="I463" s="1">
        <v>41.03</v>
      </c>
      <c r="J463" s="1">
        <v>-3.27</v>
      </c>
      <c r="K463" s="1">
        <v>-8.67</v>
      </c>
      <c r="L463" s="1">
        <f t="shared" si="1"/>
        <v>-11757.72161</v>
      </c>
      <c r="M463" s="1" t="str">
        <f t="shared" si="2"/>
        <v>ON SALE</v>
      </c>
      <c r="N463" s="1">
        <f t="shared" si="3"/>
        <v>37.75499957</v>
      </c>
      <c r="O463" s="1">
        <f t="shared" si="4"/>
        <v>38.07907867</v>
      </c>
      <c r="P463" s="4">
        <f t="shared" si="5"/>
        <v>-0.04124602439</v>
      </c>
    </row>
    <row r="464" ht="15.75" customHeight="1">
      <c r="A464" s="3">
        <v>42100.0</v>
      </c>
      <c r="B464" s="1">
        <v>2015.0</v>
      </c>
      <c r="C464" s="1">
        <v>4.0</v>
      </c>
      <c r="D464" s="1" t="s">
        <v>20</v>
      </c>
      <c r="E464" s="1">
        <v>182466.25520866032</v>
      </c>
      <c r="F464" s="1">
        <v>198405.2291123257</v>
      </c>
      <c r="G464" s="1">
        <v>4836.0</v>
      </c>
      <c r="H464" s="1">
        <v>37.73</v>
      </c>
      <c r="I464" s="1">
        <v>41.03</v>
      </c>
      <c r="J464" s="1">
        <v>-3.3</v>
      </c>
      <c r="K464" s="1">
        <v>-8.74</v>
      </c>
      <c r="L464" s="1">
        <f t="shared" si="1"/>
        <v>-15938.9739</v>
      </c>
      <c r="M464" s="1" t="str">
        <f t="shared" si="2"/>
        <v>ON SALE</v>
      </c>
      <c r="N464" s="1">
        <f t="shared" si="3"/>
        <v>37.730822</v>
      </c>
      <c r="O464" s="1">
        <f t="shared" si="4"/>
        <v>38.07499393</v>
      </c>
      <c r="P464" s="4">
        <f t="shared" si="5"/>
        <v>-0.04118101556</v>
      </c>
    </row>
    <row r="465" ht="15.75" customHeight="1">
      <c r="A465" s="3">
        <v>42101.0</v>
      </c>
      <c r="B465" s="1">
        <v>2015.0</v>
      </c>
      <c r="C465" s="1">
        <v>4.0</v>
      </c>
      <c r="D465" s="1" t="s">
        <v>20</v>
      </c>
      <c r="E465" s="1">
        <v>176814.2025694703</v>
      </c>
      <c r="F465" s="1">
        <v>178390.14906155376</v>
      </c>
      <c r="G465" s="1">
        <v>4348.0</v>
      </c>
      <c r="H465" s="1">
        <v>40.67</v>
      </c>
      <c r="I465" s="1">
        <v>41.03</v>
      </c>
      <c r="J465" s="1">
        <v>-0.36</v>
      </c>
      <c r="K465" s="1">
        <v>-0.89</v>
      </c>
      <c r="L465" s="1">
        <f t="shared" si="1"/>
        <v>-1575.946492</v>
      </c>
      <c r="M465" s="1" t="str">
        <f t="shared" si="2"/>
        <v>ON SALE</v>
      </c>
      <c r="N465" s="1">
        <f t="shared" si="3"/>
        <v>40.66563997</v>
      </c>
      <c r="O465" s="1">
        <f t="shared" si="4"/>
        <v>38.06947976</v>
      </c>
      <c r="P465" s="4">
        <f t="shared" si="5"/>
        <v>-0.04109201553</v>
      </c>
    </row>
    <row r="466" ht="15.75" customHeight="1">
      <c r="A466" s="3">
        <v>42102.0</v>
      </c>
      <c r="B466" s="1">
        <v>2015.0</v>
      </c>
      <c r="C466" s="1">
        <v>4.0</v>
      </c>
      <c r="D466" s="1" t="s">
        <v>20</v>
      </c>
      <c r="E466" s="1">
        <v>100917.67156519879</v>
      </c>
      <c r="F466" s="1">
        <v>100579.1289483651</v>
      </c>
      <c r="G466" s="1">
        <v>2451.0</v>
      </c>
      <c r="H466" s="1">
        <v>41.17</v>
      </c>
      <c r="I466" s="1">
        <v>41.04</v>
      </c>
      <c r="J466" s="1">
        <v>0.14</v>
      </c>
      <c r="K466" s="1">
        <v>0.34</v>
      </c>
      <c r="L466" s="1">
        <f t="shared" si="1"/>
        <v>338.5426168</v>
      </c>
      <c r="M466" s="1" t="str">
        <f t="shared" si="2"/>
        <v>Regular</v>
      </c>
      <c r="N466" s="1">
        <f t="shared" si="3"/>
        <v>41.17408061</v>
      </c>
      <c r="O466" s="1">
        <f t="shared" si="4"/>
        <v>38.06450211</v>
      </c>
      <c r="P466" s="4">
        <f t="shared" si="5"/>
        <v>-0.04115223416</v>
      </c>
    </row>
    <row r="467" ht="15.75" customHeight="1">
      <c r="A467" s="3">
        <v>42103.0</v>
      </c>
      <c r="B467" s="1">
        <v>2015.0</v>
      </c>
      <c r="C467" s="1">
        <v>4.0</v>
      </c>
      <c r="D467" s="1" t="s">
        <v>20</v>
      </c>
      <c r="E467" s="1">
        <v>74690.6727294505</v>
      </c>
      <c r="F467" s="1">
        <v>74427.58597218397</v>
      </c>
      <c r="G467" s="1">
        <v>1814.0</v>
      </c>
      <c r="H467" s="1">
        <v>41.17</v>
      </c>
      <c r="I467" s="1">
        <v>41.03</v>
      </c>
      <c r="J467" s="1">
        <v>0.15</v>
      </c>
      <c r="K467" s="1">
        <v>0.35</v>
      </c>
      <c r="L467" s="1">
        <f t="shared" si="1"/>
        <v>263.0867573</v>
      </c>
      <c r="M467" s="1" t="str">
        <f t="shared" si="2"/>
        <v>Regular</v>
      </c>
      <c r="N467" s="1">
        <f t="shared" si="3"/>
        <v>41.17457152</v>
      </c>
      <c r="O467" s="1">
        <f t="shared" si="4"/>
        <v>38.06168131</v>
      </c>
      <c r="P467" s="4">
        <f t="shared" si="5"/>
        <v>-0.04119982239</v>
      </c>
    </row>
    <row r="468" ht="15.75" customHeight="1">
      <c r="A468" s="3">
        <v>42104.0</v>
      </c>
      <c r="B468" s="1">
        <v>2015.0</v>
      </c>
      <c r="C468" s="1">
        <v>4.0</v>
      </c>
      <c r="D468" s="1" t="s">
        <v>20</v>
      </c>
      <c r="E468" s="1">
        <v>114067.07710172747</v>
      </c>
      <c r="F468" s="1">
        <v>113653.97356322031</v>
      </c>
      <c r="G468" s="1">
        <v>2770.0</v>
      </c>
      <c r="H468" s="1">
        <v>41.18</v>
      </c>
      <c r="I468" s="1">
        <v>41.03</v>
      </c>
      <c r="J468" s="1">
        <v>0.15</v>
      </c>
      <c r="K468" s="1">
        <v>0.36</v>
      </c>
      <c r="L468" s="1">
        <f t="shared" si="1"/>
        <v>413.1035385</v>
      </c>
      <c r="M468" s="1" t="str">
        <f t="shared" si="2"/>
        <v>Regular</v>
      </c>
      <c r="N468" s="1">
        <f t="shared" si="3"/>
        <v>41.17945022</v>
      </c>
      <c r="O468" s="1">
        <f t="shared" si="4"/>
        <v>38.05959469</v>
      </c>
      <c r="P468" s="4">
        <f t="shared" si="5"/>
        <v>-0.04123524155</v>
      </c>
    </row>
    <row r="469" ht="15.75" customHeight="1">
      <c r="A469" s="3">
        <v>42105.0</v>
      </c>
      <c r="B469" s="1">
        <v>2015.0</v>
      </c>
      <c r="C469" s="1">
        <v>4.0</v>
      </c>
      <c r="D469" s="1" t="s">
        <v>20</v>
      </c>
      <c r="E469" s="1">
        <v>126507.80094116637</v>
      </c>
      <c r="F469" s="1">
        <v>126043.76915933749</v>
      </c>
      <c r="G469" s="1">
        <v>3072.0</v>
      </c>
      <c r="H469" s="1">
        <v>41.18</v>
      </c>
      <c r="I469" s="1">
        <v>41.03</v>
      </c>
      <c r="J469" s="1">
        <v>0.15</v>
      </c>
      <c r="K469" s="1">
        <v>0.37</v>
      </c>
      <c r="L469" s="1">
        <f t="shared" si="1"/>
        <v>464.0317818</v>
      </c>
      <c r="M469" s="1" t="str">
        <f t="shared" si="2"/>
        <v>Regular</v>
      </c>
      <c r="N469" s="1">
        <f t="shared" si="3"/>
        <v>41.18092479</v>
      </c>
      <c r="O469" s="1">
        <f t="shared" si="4"/>
        <v>38.05640188</v>
      </c>
      <c r="P469" s="4">
        <f t="shared" si="5"/>
        <v>-0.04128956201</v>
      </c>
    </row>
    <row r="470" ht="15.75" customHeight="1">
      <c r="A470" s="3">
        <v>42106.0</v>
      </c>
      <c r="B470" s="1">
        <v>2015.0</v>
      </c>
      <c r="C470" s="1">
        <v>4.0</v>
      </c>
      <c r="D470" s="1" t="s">
        <v>20</v>
      </c>
      <c r="E470" s="1">
        <v>79648.6293946405</v>
      </c>
      <c r="F470" s="1">
        <v>79349.40245134271</v>
      </c>
      <c r="G470" s="1">
        <v>1934.0</v>
      </c>
      <c r="H470" s="1">
        <v>41.18</v>
      </c>
      <c r="I470" s="1">
        <v>41.03</v>
      </c>
      <c r="J470" s="1">
        <v>0.15</v>
      </c>
      <c r="K470" s="1">
        <v>0.38</v>
      </c>
      <c r="L470" s="1">
        <f t="shared" si="1"/>
        <v>299.2269433</v>
      </c>
      <c r="M470" s="1" t="str">
        <f t="shared" si="2"/>
        <v>Regular</v>
      </c>
      <c r="N470" s="1">
        <f t="shared" si="3"/>
        <v>41.18336577</v>
      </c>
      <c r="O470" s="1">
        <f t="shared" si="4"/>
        <v>38.05285347</v>
      </c>
      <c r="P470" s="4">
        <f t="shared" si="5"/>
        <v>-0.04135002344</v>
      </c>
    </row>
    <row r="471" ht="15.75" customHeight="1">
      <c r="A471" s="3">
        <v>42107.0</v>
      </c>
      <c r="B471" s="1">
        <v>2015.0</v>
      </c>
      <c r="C471" s="1">
        <v>4.0</v>
      </c>
      <c r="D471" s="1" t="s">
        <v>20</v>
      </c>
      <c r="E471" s="1">
        <v>83137.43242759025</v>
      </c>
      <c r="F471" s="1">
        <v>82700.35417030295</v>
      </c>
      <c r="G471" s="1">
        <v>2019.0</v>
      </c>
      <c r="H471" s="1">
        <v>41.18</v>
      </c>
      <c r="I471" s="1">
        <v>40.96</v>
      </c>
      <c r="J471" s="1">
        <v>0.22</v>
      </c>
      <c r="K471" s="1">
        <v>0.53</v>
      </c>
      <c r="L471" s="1">
        <f t="shared" si="1"/>
        <v>437.0782573</v>
      </c>
      <c r="M471" s="1" t="str">
        <f t="shared" si="2"/>
        <v>Regular</v>
      </c>
      <c r="N471" s="1">
        <f t="shared" si="3"/>
        <v>41.17752968</v>
      </c>
      <c r="O471" s="1">
        <f t="shared" si="4"/>
        <v>38.05061612</v>
      </c>
      <c r="P471" s="4">
        <f t="shared" si="5"/>
        <v>-0.0413882484</v>
      </c>
    </row>
    <row r="472" ht="15.75" customHeight="1">
      <c r="A472" s="3">
        <v>42108.0</v>
      </c>
      <c r="B472" s="1">
        <v>2015.0</v>
      </c>
      <c r="C472" s="1">
        <v>4.0</v>
      </c>
      <c r="D472" s="1" t="s">
        <v>20</v>
      </c>
      <c r="E472" s="1">
        <v>40776.02706167025</v>
      </c>
      <c r="F472" s="1">
        <v>39940.199579223205</v>
      </c>
      <c r="G472" s="1">
        <v>979.0</v>
      </c>
      <c r="H472" s="1">
        <v>41.65</v>
      </c>
      <c r="I472" s="1">
        <v>40.8</v>
      </c>
      <c r="J472" s="1">
        <v>0.85</v>
      </c>
      <c r="K472" s="1">
        <v>2.05</v>
      </c>
      <c r="L472" s="1">
        <f t="shared" si="1"/>
        <v>835.8274824</v>
      </c>
      <c r="M472" s="1" t="str">
        <f t="shared" si="2"/>
        <v>Regular</v>
      </c>
      <c r="N472" s="1">
        <f t="shared" si="3"/>
        <v>41.65069158</v>
      </c>
      <c r="O472" s="1">
        <f t="shared" si="4"/>
        <v>38.04832994</v>
      </c>
      <c r="P472" s="4">
        <f t="shared" si="5"/>
        <v>-0.04142954529</v>
      </c>
    </row>
    <row r="473" ht="15.75" customHeight="1">
      <c r="A473" s="3">
        <v>42109.0</v>
      </c>
      <c r="B473" s="1">
        <v>2015.0</v>
      </c>
      <c r="C473" s="1">
        <v>4.0</v>
      </c>
      <c r="D473" s="1" t="s">
        <v>20</v>
      </c>
      <c r="E473" s="1">
        <v>58278.45792605037</v>
      </c>
      <c r="F473" s="1">
        <v>56969.92259423945</v>
      </c>
      <c r="G473" s="1">
        <v>1398.0</v>
      </c>
      <c r="H473" s="1">
        <v>41.69</v>
      </c>
      <c r="I473" s="1">
        <v>40.75</v>
      </c>
      <c r="J473" s="1">
        <v>0.94</v>
      </c>
      <c r="K473" s="1">
        <v>2.25</v>
      </c>
      <c r="L473" s="1">
        <f t="shared" si="1"/>
        <v>1308.535332</v>
      </c>
      <c r="M473" s="1" t="str">
        <f t="shared" si="2"/>
        <v>Regular</v>
      </c>
      <c r="N473" s="1">
        <f t="shared" si="3"/>
        <v>41.68702284</v>
      </c>
      <c r="O473" s="1">
        <f t="shared" si="4"/>
        <v>38.04728263</v>
      </c>
      <c r="P473" s="4">
        <f t="shared" si="5"/>
        <v>-0.0414564475</v>
      </c>
    </row>
    <row r="474" ht="15.75" customHeight="1">
      <c r="A474" s="3">
        <v>42110.0</v>
      </c>
      <c r="B474" s="1">
        <v>2015.0</v>
      </c>
      <c r="C474" s="1">
        <v>4.0</v>
      </c>
      <c r="D474" s="1" t="s">
        <v>20</v>
      </c>
      <c r="E474" s="1">
        <v>50000.101443420244</v>
      </c>
      <c r="F474" s="1">
        <v>48827.88538117275</v>
      </c>
      <c r="G474" s="1">
        <v>1198.0</v>
      </c>
      <c r="H474" s="1">
        <v>41.74</v>
      </c>
      <c r="I474" s="1">
        <v>40.76</v>
      </c>
      <c r="J474" s="1">
        <v>0.98</v>
      </c>
      <c r="K474" s="1">
        <v>2.34</v>
      </c>
      <c r="L474" s="1">
        <f t="shared" si="1"/>
        <v>1172.216062</v>
      </c>
      <c r="M474" s="1" t="str">
        <f t="shared" si="2"/>
        <v>Regular</v>
      </c>
      <c r="N474" s="1">
        <f t="shared" si="3"/>
        <v>41.73631172</v>
      </c>
      <c r="O474" s="1">
        <f t="shared" si="4"/>
        <v>38.04581069</v>
      </c>
      <c r="P474" s="4">
        <f t="shared" si="5"/>
        <v>-0.0414961523</v>
      </c>
    </row>
    <row r="475" ht="15.75" customHeight="1">
      <c r="A475" s="3">
        <v>42111.0</v>
      </c>
      <c r="B475" s="1">
        <v>2015.0</v>
      </c>
      <c r="C475" s="1">
        <v>4.0</v>
      </c>
      <c r="D475" s="1" t="s">
        <v>20</v>
      </c>
      <c r="E475" s="1">
        <v>103911.9190821282</v>
      </c>
      <c r="F475" s="1">
        <v>101408.94958672023</v>
      </c>
      <c r="G475" s="1">
        <v>2485.0</v>
      </c>
      <c r="H475" s="1">
        <v>41.82</v>
      </c>
      <c r="I475" s="1">
        <v>40.81</v>
      </c>
      <c r="J475" s="1">
        <v>1.01</v>
      </c>
      <c r="K475" s="1">
        <v>2.41</v>
      </c>
      <c r="L475" s="1">
        <f t="shared" si="1"/>
        <v>2502.969495</v>
      </c>
      <c r="M475" s="1" t="str">
        <f t="shared" si="2"/>
        <v>Regular</v>
      </c>
      <c r="N475" s="1">
        <f t="shared" si="3"/>
        <v>41.8156616</v>
      </c>
      <c r="O475" s="1">
        <f t="shared" si="4"/>
        <v>38.04454488</v>
      </c>
      <c r="P475" s="4">
        <f t="shared" si="5"/>
        <v>-0.041530785</v>
      </c>
    </row>
    <row r="476" ht="15.75" customHeight="1">
      <c r="A476" s="3">
        <v>42112.0</v>
      </c>
      <c r="B476" s="1">
        <v>2015.0</v>
      </c>
      <c r="C476" s="1">
        <v>4.0</v>
      </c>
      <c r="D476" s="1" t="s">
        <v>20</v>
      </c>
      <c r="E476" s="1">
        <v>132843.22261657636</v>
      </c>
      <c r="F476" s="1">
        <v>129545.5321235172</v>
      </c>
      <c r="G476" s="1">
        <v>3172.0</v>
      </c>
      <c r="H476" s="1">
        <v>41.88</v>
      </c>
      <c r="I476" s="1">
        <v>40.84</v>
      </c>
      <c r="J476" s="1">
        <v>1.04</v>
      </c>
      <c r="K476" s="1">
        <v>2.48</v>
      </c>
      <c r="L476" s="1">
        <f t="shared" si="1"/>
        <v>3297.690493</v>
      </c>
      <c r="M476" s="1" t="str">
        <f t="shared" si="2"/>
        <v>Regular</v>
      </c>
      <c r="N476" s="1">
        <f t="shared" si="3"/>
        <v>41.87995669</v>
      </c>
      <c r="O476" s="1">
        <f t="shared" si="4"/>
        <v>38.0418664</v>
      </c>
      <c r="P476" s="4">
        <f t="shared" si="5"/>
        <v>-0.04160359175</v>
      </c>
    </row>
    <row r="477" ht="15.75" customHeight="1">
      <c r="A477" s="3">
        <v>42113.0</v>
      </c>
      <c r="B477" s="1">
        <v>2015.0</v>
      </c>
      <c r="C477" s="1">
        <v>4.0</v>
      </c>
      <c r="D477" s="1" t="s">
        <v>20</v>
      </c>
      <c r="E477" s="1">
        <v>62786.61127718</v>
      </c>
      <c r="F477" s="1">
        <v>61213.25590506657</v>
      </c>
      <c r="G477" s="1">
        <v>1497.0</v>
      </c>
      <c r="H477" s="1">
        <v>41.94</v>
      </c>
      <c r="I477" s="1">
        <v>40.89</v>
      </c>
      <c r="J477" s="1">
        <v>1.05</v>
      </c>
      <c r="K477" s="1">
        <v>2.51</v>
      </c>
      <c r="L477" s="1">
        <f t="shared" si="1"/>
        <v>1573.355372</v>
      </c>
      <c r="M477" s="1" t="str">
        <f t="shared" si="2"/>
        <v>Regular</v>
      </c>
      <c r="N477" s="1">
        <f t="shared" si="3"/>
        <v>41.9416241</v>
      </c>
      <c r="O477" s="1">
        <f t="shared" si="4"/>
        <v>38.03840037</v>
      </c>
      <c r="P477" s="4">
        <f t="shared" si="5"/>
        <v>-0.04169795131</v>
      </c>
    </row>
    <row r="478" ht="15.75" customHeight="1">
      <c r="A478" s="3">
        <v>42114.0</v>
      </c>
      <c r="B478" s="1">
        <v>2015.0</v>
      </c>
      <c r="C478" s="1">
        <v>4.0</v>
      </c>
      <c r="D478" s="1" t="s">
        <v>20</v>
      </c>
      <c r="E478" s="1">
        <v>57233.40664156013</v>
      </c>
      <c r="F478" s="1">
        <v>55706.875425596525</v>
      </c>
      <c r="G478" s="1">
        <v>1365.0</v>
      </c>
      <c r="H478" s="1">
        <v>41.93</v>
      </c>
      <c r="I478" s="1">
        <v>40.81</v>
      </c>
      <c r="J478" s="1">
        <v>1.12</v>
      </c>
      <c r="K478" s="1">
        <v>2.67</v>
      </c>
      <c r="L478" s="1">
        <f t="shared" si="1"/>
        <v>1526.531216</v>
      </c>
      <c r="M478" s="1" t="str">
        <f t="shared" si="2"/>
        <v>Regular</v>
      </c>
      <c r="N478" s="1">
        <f t="shared" si="3"/>
        <v>41.92923563</v>
      </c>
      <c r="O478" s="1">
        <f t="shared" si="4"/>
        <v>38.03673221</v>
      </c>
      <c r="P478" s="4">
        <f t="shared" si="5"/>
        <v>-0.04174280025</v>
      </c>
    </row>
    <row r="479" ht="15.75" customHeight="1">
      <c r="A479" s="3">
        <v>42115.0</v>
      </c>
      <c r="B479" s="1">
        <v>2015.0</v>
      </c>
      <c r="C479" s="1">
        <v>4.0</v>
      </c>
      <c r="D479" s="1" t="s">
        <v>20</v>
      </c>
      <c r="E479" s="1">
        <v>56874.34545501001</v>
      </c>
      <c r="F479" s="1">
        <v>55172.17122554866</v>
      </c>
      <c r="G479" s="1">
        <v>1353.0</v>
      </c>
      <c r="H479" s="1">
        <v>42.04</v>
      </c>
      <c r="I479" s="1">
        <v>40.78</v>
      </c>
      <c r="J479" s="1">
        <v>1.26</v>
      </c>
      <c r="K479" s="1">
        <v>2.99</v>
      </c>
      <c r="L479" s="1">
        <f t="shared" si="1"/>
        <v>1702.174229</v>
      </c>
      <c r="M479" s="1" t="str">
        <f t="shared" si="2"/>
        <v>Regular</v>
      </c>
      <c r="N479" s="1">
        <f t="shared" si="3"/>
        <v>42.03573204</v>
      </c>
      <c r="O479" s="1">
        <f t="shared" si="4"/>
        <v>38.03525198</v>
      </c>
      <c r="P479" s="4">
        <f t="shared" si="5"/>
        <v>-0.0417847236</v>
      </c>
    </row>
    <row r="480" ht="15.75" customHeight="1">
      <c r="A480" s="3">
        <v>42116.0</v>
      </c>
      <c r="B480" s="1">
        <v>2015.0</v>
      </c>
      <c r="C480" s="1">
        <v>4.0</v>
      </c>
      <c r="D480" s="1" t="s">
        <v>20</v>
      </c>
      <c r="E480" s="1">
        <v>132737.73701689864</v>
      </c>
      <c r="F480" s="1">
        <v>140263.93010239187</v>
      </c>
      <c r="G480" s="1">
        <v>3439.0</v>
      </c>
      <c r="H480" s="1">
        <v>38.6</v>
      </c>
      <c r="I480" s="1">
        <v>40.79</v>
      </c>
      <c r="J480" s="1">
        <v>-2.19</v>
      </c>
      <c r="K480" s="1">
        <v>-5.67</v>
      </c>
      <c r="L480" s="1">
        <f t="shared" si="1"/>
        <v>-7526.193085</v>
      </c>
      <c r="M480" s="1" t="str">
        <f t="shared" si="2"/>
        <v>ON SALE</v>
      </c>
      <c r="N480" s="1">
        <f t="shared" si="3"/>
        <v>38.59777174</v>
      </c>
      <c r="O480" s="1">
        <f t="shared" si="4"/>
        <v>38.03380079</v>
      </c>
      <c r="P480" s="4">
        <f t="shared" si="5"/>
        <v>-0.04182841918</v>
      </c>
    </row>
    <row r="481" ht="15.75" customHeight="1">
      <c r="A481" s="3">
        <v>42117.0</v>
      </c>
      <c r="B481" s="1">
        <v>2015.0</v>
      </c>
      <c r="C481" s="1">
        <v>4.0</v>
      </c>
      <c r="D481" s="1" t="s">
        <v>20</v>
      </c>
      <c r="E481" s="1">
        <v>60310.33894812001</v>
      </c>
      <c r="F481" s="1">
        <v>58446.054929901366</v>
      </c>
      <c r="G481" s="1">
        <v>1434.0</v>
      </c>
      <c r="H481" s="1">
        <v>42.06</v>
      </c>
      <c r="I481" s="1">
        <v>40.76</v>
      </c>
      <c r="J481" s="1">
        <v>1.3</v>
      </c>
      <c r="K481" s="1">
        <v>3.09</v>
      </c>
      <c r="L481" s="1">
        <f t="shared" si="1"/>
        <v>1864.284018</v>
      </c>
      <c r="M481" s="1" t="str">
        <f t="shared" si="2"/>
        <v>Regular</v>
      </c>
      <c r="N481" s="1">
        <f t="shared" si="3"/>
        <v>42.05741907</v>
      </c>
      <c r="O481" s="1">
        <f t="shared" si="4"/>
        <v>38.03009372</v>
      </c>
      <c r="P481" s="4">
        <f t="shared" si="5"/>
        <v>-0.04180724131</v>
      </c>
    </row>
    <row r="482" ht="15.75" customHeight="1">
      <c r="A482" s="3">
        <v>42118.0</v>
      </c>
      <c r="B482" s="1">
        <v>2015.0</v>
      </c>
      <c r="C482" s="1">
        <v>4.0</v>
      </c>
      <c r="D482" s="1" t="s">
        <v>20</v>
      </c>
      <c r="E482" s="1">
        <v>343587.0084787192</v>
      </c>
      <c r="F482" s="1">
        <v>362390.59604190825</v>
      </c>
      <c r="G482" s="1">
        <v>8892.0</v>
      </c>
      <c r="H482" s="1">
        <v>38.64</v>
      </c>
      <c r="I482" s="1">
        <v>40.75</v>
      </c>
      <c r="J482" s="1">
        <v>-2.11</v>
      </c>
      <c r="K482" s="1">
        <v>-5.47</v>
      </c>
      <c r="L482" s="1">
        <f t="shared" si="1"/>
        <v>-18803.58756</v>
      </c>
      <c r="M482" s="1" t="str">
        <f t="shared" si="2"/>
        <v>ON SALE</v>
      </c>
      <c r="N482" s="1">
        <f t="shared" si="3"/>
        <v>38.64001445</v>
      </c>
      <c r="O482" s="1">
        <f t="shared" si="4"/>
        <v>38.02856123</v>
      </c>
      <c r="P482" s="4">
        <f t="shared" si="5"/>
        <v>-0.04185432365</v>
      </c>
    </row>
    <row r="483" ht="15.75" customHeight="1">
      <c r="A483" s="3">
        <v>42119.0</v>
      </c>
      <c r="B483" s="1">
        <v>2015.0</v>
      </c>
      <c r="C483" s="1">
        <v>4.0</v>
      </c>
      <c r="D483" s="1" t="s">
        <v>20</v>
      </c>
      <c r="E483" s="1">
        <v>496882.31502370274</v>
      </c>
      <c r="F483" s="1">
        <v>535306.0098701882</v>
      </c>
      <c r="G483" s="1">
        <v>13144.0</v>
      </c>
      <c r="H483" s="1">
        <v>37.8</v>
      </c>
      <c r="I483" s="1">
        <v>40.73</v>
      </c>
      <c r="J483" s="1">
        <v>-2.92</v>
      </c>
      <c r="K483" s="1">
        <v>-7.73</v>
      </c>
      <c r="L483" s="1">
        <f t="shared" si="1"/>
        <v>-38423.69485</v>
      </c>
      <c r="M483" s="1" t="str">
        <f t="shared" si="2"/>
        <v>ON SALE</v>
      </c>
      <c r="N483" s="1">
        <f t="shared" si="3"/>
        <v>37.80297588</v>
      </c>
      <c r="O483" s="1">
        <f t="shared" si="4"/>
        <v>38.01902926</v>
      </c>
      <c r="P483" s="4">
        <f t="shared" si="5"/>
        <v>-0.04180666517</v>
      </c>
    </row>
    <row r="484" ht="15.75" customHeight="1">
      <c r="A484" s="3">
        <v>42120.0</v>
      </c>
      <c r="B484" s="1">
        <v>2015.0</v>
      </c>
      <c r="C484" s="1">
        <v>4.0</v>
      </c>
      <c r="D484" s="1" t="s">
        <v>20</v>
      </c>
      <c r="E484" s="1">
        <v>200369.82986166124</v>
      </c>
      <c r="F484" s="1">
        <v>210964.7680869965</v>
      </c>
      <c r="G484" s="1">
        <v>5179.0</v>
      </c>
      <c r="H484" s="1">
        <v>38.69</v>
      </c>
      <c r="I484" s="1">
        <v>40.73</v>
      </c>
      <c r="J484" s="1">
        <v>-2.05</v>
      </c>
      <c r="K484" s="1">
        <v>-5.29</v>
      </c>
      <c r="L484" s="1">
        <f t="shared" si="1"/>
        <v>-10594.93823</v>
      </c>
      <c r="M484" s="1" t="str">
        <f t="shared" si="2"/>
        <v>ON SALE</v>
      </c>
      <c r="N484" s="1">
        <f t="shared" si="3"/>
        <v>38.68890324</v>
      </c>
      <c r="O484" s="1">
        <f t="shared" si="4"/>
        <v>38.00496417</v>
      </c>
      <c r="P484" s="4">
        <f t="shared" si="5"/>
        <v>-0.04161545184</v>
      </c>
    </row>
    <row r="485" ht="15.75" customHeight="1">
      <c r="A485" s="3">
        <v>42121.0</v>
      </c>
      <c r="B485" s="1">
        <v>2015.0</v>
      </c>
      <c r="C485" s="1">
        <v>4.0</v>
      </c>
      <c r="D485" s="1" t="s">
        <v>20</v>
      </c>
      <c r="E485" s="1">
        <v>194028.06181921624</v>
      </c>
      <c r="F485" s="1">
        <v>204053.49893464716</v>
      </c>
      <c r="G485" s="1">
        <v>5014.0</v>
      </c>
      <c r="H485" s="1">
        <v>38.7</v>
      </c>
      <c r="I485" s="1">
        <v>40.7</v>
      </c>
      <c r="J485" s="1">
        <v>-2.0</v>
      </c>
      <c r="K485" s="1">
        <v>-5.17</v>
      </c>
      <c r="L485" s="1">
        <f t="shared" si="1"/>
        <v>-10025.43712</v>
      </c>
      <c r="M485" s="1" t="str">
        <f t="shared" si="2"/>
        <v>ON SALE</v>
      </c>
      <c r="N485" s="1">
        <f t="shared" si="3"/>
        <v>38.69726004</v>
      </c>
      <c r="O485" s="1">
        <f t="shared" si="4"/>
        <v>37.99936481</v>
      </c>
      <c r="P485" s="4">
        <f t="shared" si="5"/>
        <v>-0.04159095404</v>
      </c>
    </row>
    <row r="486" ht="15.75" customHeight="1">
      <c r="A486" s="3">
        <v>42122.0</v>
      </c>
      <c r="B486" s="1">
        <v>2015.0</v>
      </c>
      <c r="C486" s="1">
        <v>4.0</v>
      </c>
      <c r="D486" s="1" t="s">
        <v>20</v>
      </c>
      <c r="E486" s="1">
        <v>190560.57918183244</v>
      </c>
      <c r="F486" s="1">
        <v>200804.03684509994</v>
      </c>
      <c r="G486" s="1">
        <v>4936.0</v>
      </c>
      <c r="H486" s="1">
        <v>38.61</v>
      </c>
      <c r="I486" s="1">
        <v>40.68</v>
      </c>
      <c r="J486" s="1">
        <v>-2.08</v>
      </c>
      <c r="K486" s="1">
        <v>-5.38</v>
      </c>
      <c r="L486" s="1">
        <f t="shared" si="1"/>
        <v>-10243.45766</v>
      </c>
      <c r="M486" s="1" t="str">
        <f t="shared" si="2"/>
        <v>ON SALE</v>
      </c>
      <c r="N486" s="1">
        <f t="shared" si="3"/>
        <v>38.60627617</v>
      </c>
      <c r="O486" s="1">
        <f t="shared" si="4"/>
        <v>37.99399735</v>
      </c>
      <c r="P486" s="4">
        <f t="shared" si="5"/>
        <v>-0.04156967749</v>
      </c>
    </row>
    <row r="487" ht="15.75" customHeight="1">
      <c r="A487" s="3">
        <v>42123.0</v>
      </c>
      <c r="B487" s="1">
        <v>2015.0</v>
      </c>
      <c r="C487" s="1">
        <v>4.0</v>
      </c>
      <c r="D487" s="1" t="s">
        <v>20</v>
      </c>
      <c r="E487" s="1">
        <v>198985.39962261243</v>
      </c>
      <c r="F487" s="1">
        <v>209483.87580877283</v>
      </c>
      <c r="G487" s="1">
        <v>5150.0</v>
      </c>
      <c r="H487" s="1">
        <v>38.64</v>
      </c>
      <c r="I487" s="1">
        <v>40.68</v>
      </c>
      <c r="J487" s="1">
        <v>-2.04</v>
      </c>
      <c r="K487" s="1">
        <v>-5.28</v>
      </c>
      <c r="L487" s="1">
        <f t="shared" si="1"/>
        <v>-10498.47619</v>
      </c>
      <c r="M487" s="1" t="str">
        <f t="shared" si="2"/>
        <v>ON SALE</v>
      </c>
      <c r="N487" s="1">
        <f t="shared" si="3"/>
        <v>38.63794167</v>
      </c>
      <c r="O487" s="1">
        <f t="shared" si="4"/>
        <v>37.98872234</v>
      </c>
      <c r="P487" s="4">
        <f t="shared" si="5"/>
        <v>-0.04154436333</v>
      </c>
    </row>
    <row r="488" ht="15.75" customHeight="1">
      <c r="A488" s="3">
        <v>42124.0</v>
      </c>
      <c r="B488" s="1">
        <v>2015.0</v>
      </c>
      <c r="C488" s="1">
        <v>4.0</v>
      </c>
      <c r="D488" s="1" t="s">
        <v>20</v>
      </c>
      <c r="E488" s="1">
        <v>385482.8720257082</v>
      </c>
      <c r="F488" s="1">
        <v>406252.00759341643</v>
      </c>
      <c r="G488" s="1">
        <v>9986.0</v>
      </c>
      <c r="H488" s="1">
        <v>38.6</v>
      </c>
      <c r="I488" s="1">
        <v>40.68</v>
      </c>
      <c r="J488" s="1">
        <v>-2.08</v>
      </c>
      <c r="K488" s="1">
        <v>-5.39</v>
      </c>
      <c r="L488" s="1">
        <f t="shared" si="1"/>
        <v>-20769.13557</v>
      </c>
      <c r="M488" s="1" t="str">
        <f t="shared" si="2"/>
        <v>ON SALE</v>
      </c>
      <c r="N488" s="1">
        <f t="shared" si="3"/>
        <v>38.60233047</v>
      </c>
      <c r="O488" s="1">
        <f t="shared" si="4"/>
        <v>37.98320688</v>
      </c>
      <c r="P488" s="4">
        <f t="shared" si="5"/>
        <v>-0.04151997923</v>
      </c>
    </row>
    <row r="489" ht="15.75" customHeight="1">
      <c r="A489" s="3">
        <v>42125.0</v>
      </c>
      <c r="B489" s="1">
        <v>2015.0</v>
      </c>
      <c r="C489" s="1">
        <v>5.0</v>
      </c>
      <c r="D489" s="1" t="s">
        <v>21</v>
      </c>
      <c r="E489" s="1">
        <v>499703.41471803014</v>
      </c>
      <c r="F489" s="1">
        <v>526206.9371722165</v>
      </c>
      <c r="G489" s="1">
        <v>12937.0</v>
      </c>
      <c r="H489" s="1">
        <v>38.63</v>
      </c>
      <c r="I489" s="1">
        <v>40.67</v>
      </c>
      <c r="J489" s="1">
        <v>-2.05</v>
      </c>
      <c r="K489" s="1">
        <v>-5.3</v>
      </c>
      <c r="L489" s="1">
        <f t="shared" si="1"/>
        <v>-26503.52245</v>
      </c>
      <c r="M489" s="1" t="str">
        <f t="shared" si="2"/>
        <v>ON SALE</v>
      </c>
      <c r="N489" s="1">
        <f t="shared" si="3"/>
        <v>38.62591132</v>
      </c>
      <c r="O489" s="1">
        <f t="shared" si="4"/>
        <v>37.97242481</v>
      </c>
      <c r="P489" s="4">
        <f t="shared" si="5"/>
        <v>-0.04146770888</v>
      </c>
    </row>
    <row r="490" ht="15.75" customHeight="1">
      <c r="A490" s="3">
        <v>42126.0</v>
      </c>
      <c r="B490" s="1">
        <v>2015.0</v>
      </c>
      <c r="C490" s="1">
        <v>5.0</v>
      </c>
      <c r="D490" s="1" t="s">
        <v>21</v>
      </c>
      <c r="E490" s="1">
        <v>461667.00388101256</v>
      </c>
      <c r="F490" s="1">
        <v>496852.8019930757</v>
      </c>
      <c r="G490" s="1">
        <v>12217.0</v>
      </c>
      <c r="H490" s="1">
        <v>37.79</v>
      </c>
      <c r="I490" s="1">
        <v>40.67</v>
      </c>
      <c r="J490" s="1">
        <v>-2.88</v>
      </c>
      <c r="K490" s="1">
        <v>-7.62</v>
      </c>
      <c r="L490" s="1">
        <f t="shared" si="1"/>
        <v>-35185.79811</v>
      </c>
      <c r="M490" s="1" t="str">
        <f t="shared" si="2"/>
        <v>ON SALE</v>
      </c>
      <c r="N490" s="1">
        <f t="shared" si="3"/>
        <v>37.78890103</v>
      </c>
      <c r="O490" s="1">
        <f t="shared" si="4"/>
        <v>37.95836719</v>
      </c>
      <c r="P490" s="4">
        <f t="shared" si="5"/>
        <v>-0.04140391831</v>
      </c>
    </row>
    <row r="491" ht="15.75" customHeight="1">
      <c r="A491" s="3">
        <v>42127.0</v>
      </c>
      <c r="B491" s="1">
        <v>2015.0</v>
      </c>
      <c r="C491" s="1">
        <v>5.0</v>
      </c>
      <c r="D491" s="1" t="s">
        <v>21</v>
      </c>
      <c r="E491" s="1">
        <v>259541.60872151394</v>
      </c>
      <c r="F491" s="1">
        <v>273280.04637040466</v>
      </c>
      <c r="G491" s="1">
        <v>6721.0</v>
      </c>
      <c r="H491" s="1">
        <v>38.62</v>
      </c>
      <c r="I491" s="1">
        <v>40.66</v>
      </c>
      <c r="J491" s="1">
        <v>-2.04</v>
      </c>
      <c r="K491" s="1">
        <v>-5.29</v>
      </c>
      <c r="L491" s="1">
        <f t="shared" si="1"/>
        <v>-13738.43765</v>
      </c>
      <c r="M491" s="1" t="str">
        <f t="shared" si="2"/>
        <v>ON SALE</v>
      </c>
      <c r="N491" s="1">
        <f t="shared" si="3"/>
        <v>38.6165167</v>
      </c>
      <c r="O491" s="1">
        <f t="shared" si="4"/>
        <v>37.94498465</v>
      </c>
      <c r="P491" s="4">
        <f t="shared" si="5"/>
        <v>-0.04122570469</v>
      </c>
    </row>
    <row r="492" ht="15.75" customHeight="1">
      <c r="A492" s="3">
        <v>42128.0</v>
      </c>
      <c r="B492" s="1">
        <v>2015.0</v>
      </c>
      <c r="C492" s="1">
        <v>5.0</v>
      </c>
      <c r="D492" s="1" t="s">
        <v>21</v>
      </c>
      <c r="E492" s="1">
        <v>320309.2744015867</v>
      </c>
      <c r="F492" s="1">
        <v>336742.60236538574</v>
      </c>
      <c r="G492" s="1">
        <v>8283.0</v>
      </c>
      <c r="H492" s="1">
        <v>38.67</v>
      </c>
      <c r="I492" s="1">
        <v>40.65</v>
      </c>
      <c r="J492" s="1">
        <v>-1.98</v>
      </c>
      <c r="K492" s="1">
        <v>-5.13</v>
      </c>
      <c r="L492" s="1">
        <f t="shared" si="1"/>
        <v>-16433.32796</v>
      </c>
      <c r="M492" s="1" t="str">
        <f t="shared" si="2"/>
        <v>ON SALE</v>
      </c>
      <c r="N492" s="1">
        <f t="shared" si="3"/>
        <v>38.67068386</v>
      </c>
      <c r="O492" s="1">
        <f t="shared" si="4"/>
        <v>37.93758868</v>
      </c>
      <c r="P492" s="4">
        <f t="shared" si="5"/>
        <v>-0.04119191133</v>
      </c>
    </row>
    <row r="493" ht="15.75" customHeight="1">
      <c r="A493" s="3">
        <v>42129.0</v>
      </c>
      <c r="B493" s="1">
        <v>2015.0</v>
      </c>
      <c r="C493" s="1">
        <v>5.0</v>
      </c>
      <c r="D493" s="1" t="s">
        <v>21</v>
      </c>
      <c r="E493" s="1">
        <v>239922.99815095018</v>
      </c>
      <c r="F493" s="1">
        <v>251700.9664012018</v>
      </c>
      <c r="G493" s="1">
        <v>6191.0</v>
      </c>
      <c r="H493" s="1">
        <v>38.75</v>
      </c>
      <c r="I493" s="1">
        <v>40.66</v>
      </c>
      <c r="J493" s="1">
        <v>-1.9</v>
      </c>
      <c r="K493" s="1">
        <v>-4.91</v>
      </c>
      <c r="L493" s="1">
        <f t="shared" si="1"/>
        <v>-11777.96825</v>
      </c>
      <c r="M493" s="1" t="str">
        <f t="shared" si="2"/>
        <v>ON SALE</v>
      </c>
      <c r="N493" s="1">
        <f t="shared" si="3"/>
        <v>38.75351287</v>
      </c>
      <c r="O493" s="1">
        <f t="shared" si="4"/>
        <v>37.9284383</v>
      </c>
      <c r="P493" s="4">
        <f t="shared" si="5"/>
        <v>-0.04115575912</v>
      </c>
    </row>
    <row r="494" ht="15.75" customHeight="1">
      <c r="A494" s="3">
        <v>42130.0</v>
      </c>
      <c r="B494" s="1">
        <v>2015.0</v>
      </c>
      <c r="C494" s="1">
        <v>5.0</v>
      </c>
      <c r="D494" s="1" t="s">
        <v>21</v>
      </c>
      <c r="E494" s="1">
        <v>224994.19507015543</v>
      </c>
      <c r="F494" s="1">
        <v>242259.8595396662</v>
      </c>
      <c r="G494" s="1">
        <v>5959.0</v>
      </c>
      <c r="H494" s="1">
        <v>37.76</v>
      </c>
      <c r="I494" s="1">
        <v>40.65</v>
      </c>
      <c r="J494" s="1">
        <v>-2.9</v>
      </c>
      <c r="K494" s="1">
        <v>-7.67</v>
      </c>
      <c r="L494" s="1">
        <f t="shared" si="1"/>
        <v>-17265.66447</v>
      </c>
      <c r="M494" s="1" t="str">
        <f t="shared" si="2"/>
        <v>ON SALE</v>
      </c>
      <c r="N494" s="1">
        <f t="shared" si="3"/>
        <v>37.75703894</v>
      </c>
      <c r="O494" s="1">
        <f t="shared" si="4"/>
        <v>37.92155541</v>
      </c>
      <c r="P494" s="4">
        <f t="shared" si="5"/>
        <v>-0.0411344544</v>
      </c>
    </row>
    <row r="495" ht="15.75" customHeight="1">
      <c r="A495" s="3">
        <v>42131.0</v>
      </c>
      <c r="B495" s="1">
        <v>2015.0</v>
      </c>
      <c r="C495" s="1">
        <v>5.0</v>
      </c>
      <c r="D495" s="1" t="s">
        <v>21</v>
      </c>
      <c r="E495" s="1">
        <v>117197.97172990369</v>
      </c>
      <c r="F495" s="1">
        <v>115769.08632788144</v>
      </c>
      <c r="G495" s="1">
        <v>2848.0</v>
      </c>
      <c r="H495" s="1">
        <v>41.15</v>
      </c>
      <c r="I495" s="1">
        <v>40.65</v>
      </c>
      <c r="J495" s="1">
        <v>0.5</v>
      </c>
      <c r="K495" s="1">
        <v>1.22</v>
      </c>
      <c r="L495" s="1">
        <f t="shared" si="1"/>
        <v>1428.885402</v>
      </c>
      <c r="M495" s="1" t="str">
        <f t="shared" si="2"/>
        <v>Regular</v>
      </c>
      <c r="N495" s="1">
        <f t="shared" si="3"/>
        <v>41.15097322</v>
      </c>
      <c r="O495" s="1">
        <f t="shared" si="4"/>
        <v>37.9149012</v>
      </c>
      <c r="P495" s="4">
        <f t="shared" si="5"/>
        <v>-0.04104458178</v>
      </c>
    </row>
    <row r="496" ht="15.75" customHeight="1">
      <c r="A496" s="3">
        <v>42132.0</v>
      </c>
      <c r="B496" s="1">
        <v>2015.0</v>
      </c>
      <c r="C496" s="1">
        <v>5.0</v>
      </c>
      <c r="D496" s="1" t="s">
        <v>21</v>
      </c>
      <c r="E496" s="1">
        <v>330589.1998128597</v>
      </c>
      <c r="F496" s="1">
        <v>355565.0417344777</v>
      </c>
      <c r="G496" s="1">
        <v>8748.0</v>
      </c>
      <c r="H496" s="1">
        <v>37.79</v>
      </c>
      <c r="I496" s="1">
        <v>40.65</v>
      </c>
      <c r="J496" s="1">
        <v>-2.86</v>
      </c>
      <c r="K496" s="1">
        <v>-7.55</v>
      </c>
      <c r="L496" s="1">
        <f t="shared" si="1"/>
        <v>-24975.84192</v>
      </c>
      <c r="M496" s="1" t="str">
        <f t="shared" si="2"/>
        <v>ON SALE</v>
      </c>
      <c r="N496" s="1">
        <f t="shared" si="3"/>
        <v>37.79026061</v>
      </c>
      <c r="O496" s="1">
        <f t="shared" si="4"/>
        <v>37.91171553</v>
      </c>
      <c r="P496" s="4">
        <f t="shared" si="5"/>
        <v>-0.04111467271</v>
      </c>
    </row>
    <row r="497" ht="15.75" customHeight="1">
      <c r="A497" s="3">
        <v>42133.0</v>
      </c>
      <c r="B497" s="1">
        <v>2015.0</v>
      </c>
      <c r="C497" s="1">
        <v>5.0</v>
      </c>
      <c r="D497" s="1" t="s">
        <v>21</v>
      </c>
      <c r="E497" s="1">
        <v>389972.11975571</v>
      </c>
      <c r="F497" s="1">
        <v>419827.1365222265</v>
      </c>
      <c r="G497" s="1">
        <v>10329.0</v>
      </c>
      <c r="H497" s="1">
        <v>37.76</v>
      </c>
      <c r="I497" s="1">
        <v>40.65</v>
      </c>
      <c r="J497" s="1">
        <v>-2.89</v>
      </c>
      <c r="K497" s="1">
        <v>-7.66</v>
      </c>
      <c r="L497" s="1">
        <f t="shared" si="1"/>
        <v>-29855.01677</v>
      </c>
      <c r="M497" s="1" t="str">
        <f t="shared" si="2"/>
        <v>ON SALE</v>
      </c>
      <c r="N497" s="1">
        <f t="shared" si="3"/>
        <v>37.75507017</v>
      </c>
      <c r="O497" s="1">
        <f t="shared" si="4"/>
        <v>37.90189798</v>
      </c>
      <c r="P497" s="4">
        <f t="shared" si="5"/>
        <v>-0.04098631168</v>
      </c>
    </row>
    <row r="498" ht="15.75" customHeight="1">
      <c r="A498" s="3">
        <v>42134.0</v>
      </c>
      <c r="B498" s="1">
        <v>2015.0</v>
      </c>
      <c r="C498" s="1">
        <v>5.0</v>
      </c>
      <c r="D498" s="1" t="s">
        <v>21</v>
      </c>
      <c r="E498" s="1">
        <v>166536.00026357028</v>
      </c>
      <c r="F498" s="1">
        <v>179243.05183339986</v>
      </c>
      <c r="G498" s="1">
        <v>4410.0</v>
      </c>
      <c r="H498" s="1">
        <v>37.76</v>
      </c>
      <c r="I498" s="1">
        <v>40.64</v>
      </c>
      <c r="J498" s="1">
        <v>-2.88</v>
      </c>
      <c r="K498" s="1">
        <v>-7.63</v>
      </c>
      <c r="L498" s="1">
        <f t="shared" si="1"/>
        <v>-12707.05157</v>
      </c>
      <c r="M498" s="1" t="str">
        <f t="shared" si="2"/>
        <v>ON SALE</v>
      </c>
      <c r="N498" s="1">
        <f t="shared" si="3"/>
        <v>37.76326537</v>
      </c>
      <c r="O498" s="1">
        <f t="shared" si="4"/>
        <v>37.89021417</v>
      </c>
      <c r="P498" s="4">
        <f t="shared" si="5"/>
        <v>-0.04082920879</v>
      </c>
    </row>
    <row r="499" ht="15.75" customHeight="1">
      <c r="A499" s="3">
        <v>42135.0</v>
      </c>
      <c r="B499" s="1">
        <v>2015.0</v>
      </c>
      <c r="C499" s="1">
        <v>5.0</v>
      </c>
      <c r="D499" s="1" t="s">
        <v>21</v>
      </c>
      <c r="E499" s="1">
        <v>198442.9126538279</v>
      </c>
      <c r="F499" s="1">
        <v>213676.42842593024</v>
      </c>
      <c r="G499" s="1">
        <v>5257.0</v>
      </c>
      <c r="H499" s="1">
        <v>37.75</v>
      </c>
      <c r="I499" s="1">
        <v>40.65</v>
      </c>
      <c r="J499" s="1">
        <v>-2.9</v>
      </c>
      <c r="K499" s="1">
        <v>-7.68</v>
      </c>
      <c r="L499" s="1">
        <f t="shared" si="1"/>
        <v>-15233.51577</v>
      </c>
      <c r="M499" s="1" t="str">
        <f t="shared" si="2"/>
        <v>ON SALE</v>
      </c>
      <c r="N499" s="1">
        <f t="shared" si="3"/>
        <v>37.74831894</v>
      </c>
      <c r="O499" s="1">
        <f t="shared" si="4"/>
        <v>37.88519681</v>
      </c>
      <c r="P499" s="4">
        <f t="shared" si="5"/>
        <v>-0.04076217623</v>
      </c>
    </row>
    <row r="500" ht="15.75" customHeight="1">
      <c r="A500" s="3">
        <v>42136.0</v>
      </c>
      <c r="B500" s="1">
        <v>2015.0</v>
      </c>
      <c r="C500" s="1">
        <v>5.0</v>
      </c>
      <c r="D500" s="1" t="s">
        <v>21</v>
      </c>
      <c r="E500" s="1">
        <v>193182.15055271276</v>
      </c>
      <c r="F500" s="1">
        <v>208039.17344555477</v>
      </c>
      <c r="G500" s="1">
        <v>5118.0</v>
      </c>
      <c r="H500" s="1">
        <v>37.75</v>
      </c>
      <c r="I500" s="1">
        <v>40.65</v>
      </c>
      <c r="J500" s="1">
        <v>-2.9</v>
      </c>
      <c r="K500" s="1">
        <v>-7.69</v>
      </c>
      <c r="L500" s="1">
        <f t="shared" si="1"/>
        <v>-14857.02289</v>
      </c>
      <c r="M500" s="1" t="str">
        <f t="shared" si="2"/>
        <v>ON SALE</v>
      </c>
      <c r="N500" s="1">
        <f t="shared" si="3"/>
        <v>37.74563317</v>
      </c>
      <c r="O500" s="1">
        <f t="shared" si="4"/>
        <v>37.87918884</v>
      </c>
      <c r="P500" s="4">
        <f t="shared" si="5"/>
        <v>-0.04068092412</v>
      </c>
    </row>
    <row r="501" ht="15.75" customHeight="1">
      <c r="A501" s="3">
        <v>42137.0</v>
      </c>
      <c r="B501" s="1">
        <v>2015.0</v>
      </c>
      <c r="C501" s="1">
        <v>5.0</v>
      </c>
      <c r="D501" s="1" t="s">
        <v>21</v>
      </c>
      <c r="E501" s="1">
        <v>166403.12699582273</v>
      </c>
      <c r="F501" s="1">
        <v>179221.57229363997</v>
      </c>
      <c r="G501" s="1">
        <v>4410.0</v>
      </c>
      <c r="H501" s="1">
        <v>37.73</v>
      </c>
      <c r="I501" s="1">
        <v>40.64</v>
      </c>
      <c r="J501" s="1">
        <v>-2.91</v>
      </c>
      <c r="K501" s="1">
        <v>-7.7</v>
      </c>
      <c r="L501" s="1">
        <f t="shared" si="1"/>
        <v>-12818.4453</v>
      </c>
      <c r="M501" s="1" t="str">
        <f t="shared" si="2"/>
        <v>ON SALE</v>
      </c>
      <c r="N501" s="1">
        <f t="shared" si="3"/>
        <v>37.73313537</v>
      </c>
      <c r="O501" s="1">
        <f t="shared" si="4"/>
        <v>37.87330933</v>
      </c>
      <c r="P501" s="4">
        <f t="shared" si="5"/>
        <v>-0.04060116122</v>
      </c>
    </row>
    <row r="502" ht="15.75" customHeight="1">
      <c r="A502" s="3">
        <v>42138.0</v>
      </c>
      <c r="B502" s="1">
        <v>2015.0</v>
      </c>
      <c r="C502" s="1">
        <v>5.0</v>
      </c>
      <c r="D502" s="1" t="s">
        <v>21</v>
      </c>
      <c r="E502" s="1">
        <v>149178.60148103395</v>
      </c>
      <c r="F502" s="1">
        <v>160620.2071408729</v>
      </c>
      <c r="G502" s="1">
        <v>3952.0</v>
      </c>
      <c r="H502" s="1">
        <v>37.75</v>
      </c>
      <c r="I502" s="1">
        <v>40.64</v>
      </c>
      <c r="J502" s="1">
        <v>-2.9</v>
      </c>
      <c r="K502" s="1">
        <v>-7.67</v>
      </c>
      <c r="L502" s="1">
        <f t="shared" si="1"/>
        <v>-11441.60566</v>
      </c>
      <c r="M502" s="1" t="str">
        <f t="shared" si="2"/>
        <v>ON SALE</v>
      </c>
      <c r="N502" s="1">
        <f t="shared" si="3"/>
        <v>37.74762183</v>
      </c>
      <c r="O502" s="1">
        <f t="shared" si="4"/>
        <v>37.86823909</v>
      </c>
      <c r="P502" s="4">
        <f t="shared" si="5"/>
        <v>-0.04053193419</v>
      </c>
    </row>
    <row r="503" ht="15.75" customHeight="1">
      <c r="A503" s="3">
        <v>42139.0</v>
      </c>
      <c r="B503" s="1">
        <v>2015.0</v>
      </c>
      <c r="C503" s="1">
        <v>5.0</v>
      </c>
      <c r="D503" s="1" t="s">
        <v>21</v>
      </c>
      <c r="E503" s="1">
        <v>380592.57758342725</v>
      </c>
      <c r="F503" s="1">
        <v>409812.4326636886</v>
      </c>
      <c r="G503" s="1">
        <v>10084.0</v>
      </c>
      <c r="H503" s="1">
        <v>37.74</v>
      </c>
      <c r="I503" s="1">
        <v>40.64</v>
      </c>
      <c r="J503" s="1">
        <v>-2.9</v>
      </c>
      <c r="K503" s="1">
        <v>-7.68</v>
      </c>
      <c r="L503" s="1">
        <f t="shared" si="1"/>
        <v>-29219.85508</v>
      </c>
      <c r="M503" s="1" t="str">
        <f t="shared" si="2"/>
        <v>ON SALE</v>
      </c>
      <c r="N503" s="1">
        <f t="shared" si="3"/>
        <v>37.74222308</v>
      </c>
      <c r="O503" s="1">
        <f t="shared" si="4"/>
        <v>37.86367474</v>
      </c>
      <c r="P503" s="4">
        <f t="shared" si="5"/>
        <v>-0.04047022071</v>
      </c>
    </row>
    <row r="504" ht="15.75" customHeight="1">
      <c r="A504" s="3">
        <v>42140.0</v>
      </c>
      <c r="B504" s="1">
        <v>2015.0</v>
      </c>
      <c r="C504" s="1">
        <v>5.0</v>
      </c>
      <c r="D504" s="1" t="s">
        <v>21</v>
      </c>
      <c r="E504" s="1">
        <v>413700.1789323412</v>
      </c>
      <c r="F504" s="1">
        <v>445569.7191074052</v>
      </c>
      <c r="G504" s="1">
        <v>10964.0</v>
      </c>
      <c r="H504" s="1">
        <v>37.73</v>
      </c>
      <c r="I504" s="1">
        <v>40.64</v>
      </c>
      <c r="J504" s="1">
        <v>-2.91</v>
      </c>
      <c r="K504" s="1">
        <v>-7.7</v>
      </c>
      <c r="L504" s="1">
        <f t="shared" si="1"/>
        <v>-31869.54018</v>
      </c>
      <c r="M504" s="1" t="str">
        <f t="shared" si="2"/>
        <v>ON SALE</v>
      </c>
      <c r="N504" s="1">
        <f t="shared" si="3"/>
        <v>37.73259567</v>
      </c>
      <c r="O504" s="1">
        <f t="shared" si="4"/>
        <v>37.85197214</v>
      </c>
      <c r="P504" s="4">
        <f t="shared" si="5"/>
        <v>-0.04031147779</v>
      </c>
    </row>
    <row r="505" ht="15.75" customHeight="1">
      <c r="A505" s="3">
        <v>42141.0</v>
      </c>
      <c r="B505" s="1">
        <v>2015.0</v>
      </c>
      <c r="C505" s="1">
        <v>5.0</v>
      </c>
      <c r="D505" s="1" t="s">
        <v>21</v>
      </c>
      <c r="E505" s="1">
        <v>177159.67306561908</v>
      </c>
      <c r="F505" s="1">
        <v>190811.57794423788</v>
      </c>
      <c r="G505" s="1">
        <v>4695.0</v>
      </c>
      <c r="H505" s="1">
        <v>37.73</v>
      </c>
      <c r="I505" s="1">
        <v>40.64</v>
      </c>
      <c r="J505" s="1">
        <v>-2.91</v>
      </c>
      <c r="K505" s="1">
        <v>-7.71</v>
      </c>
      <c r="L505" s="1">
        <f t="shared" si="1"/>
        <v>-13651.90488</v>
      </c>
      <c r="M505" s="1" t="str">
        <f t="shared" si="2"/>
        <v>ON SALE</v>
      </c>
      <c r="N505" s="1">
        <f t="shared" si="3"/>
        <v>37.73368968</v>
      </c>
      <c r="O505" s="1">
        <f t="shared" si="4"/>
        <v>37.83913826</v>
      </c>
      <c r="P505" s="4">
        <f t="shared" si="5"/>
        <v>-0.04013609862</v>
      </c>
    </row>
    <row r="506" ht="15.75" customHeight="1">
      <c r="A506" s="3">
        <v>42142.0</v>
      </c>
      <c r="B506" s="1">
        <v>2015.0</v>
      </c>
      <c r="C506" s="1">
        <v>5.0</v>
      </c>
      <c r="D506" s="1" t="s">
        <v>21</v>
      </c>
      <c r="E506" s="1">
        <v>196420.7635368479</v>
      </c>
      <c r="F506" s="1">
        <v>211510.78612034488</v>
      </c>
      <c r="G506" s="1">
        <v>5205.0</v>
      </c>
      <c r="H506" s="1">
        <v>37.74</v>
      </c>
      <c r="I506" s="1">
        <v>40.64</v>
      </c>
      <c r="J506" s="1">
        <v>-2.9</v>
      </c>
      <c r="K506" s="1">
        <v>-7.68</v>
      </c>
      <c r="L506" s="1">
        <f t="shared" si="1"/>
        <v>-15090.02258</v>
      </c>
      <c r="M506" s="1" t="str">
        <f t="shared" si="2"/>
        <v>ON SALE</v>
      </c>
      <c r="N506" s="1">
        <f t="shared" si="3"/>
        <v>37.73693824</v>
      </c>
      <c r="O506" s="1">
        <f t="shared" si="4"/>
        <v>37.83360217</v>
      </c>
      <c r="P506" s="4">
        <f t="shared" si="5"/>
        <v>-0.04006043207</v>
      </c>
    </row>
    <row r="507" ht="15.75" customHeight="1">
      <c r="A507" s="3">
        <v>42143.0</v>
      </c>
      <c r="B507" s="1">
        <v>2015.0</v>
      </c>
      <c r="C507" s="1">
        <v>5.0</v>
      </c>
      <c r="D507" s="1" t="s">
        <v>21</v>
      </c>
      <c r="E507" s="1">
        <v>137940.87216380518</v>
      </c>
      <c r="F507" s="1">
        <v>147846.05216339655</v>
      </c>
      <c r="G507" s="1">
        <v>3638.0</v>
      </c>
      <c r="H507" s="1">
        <v>37.92</v>
      </c>
      <c r="I507" s="1">
        <v>40.64</v>
      </c>
      <c r="J507" s="1">
        <v>-2.72</v>
      </c>
      <c r="K507" s="1">
        <v>-7.18</v>
      </c>
      <c r="L507" s="1">
        <f t="shared" si="1"/>
        <v>-9905.18</v>
      </c>
      <c r="M507" s="1" t="str">
        <f t="shared" si="2"/>
        <v>ON SALE</v>
      </c>
      <c r="N507" s="1">
        <f t="shared" si="3"/>
        <v>37.91667734</v>
      </c>
      <c r="O507" s="1">
        <f t="shared" si="4"/>
        <v>37.82745087</v>
      </c>
      <c r="P507" s="4">
        <f t="shared" si="5"/>
        <v>-0.03997671049</v>
      </c>
    </row>
    <row r="508" ht="15.75" customHeight="1">
      <c r="A508" s="3">
        <v>42144.0</v>
      </c>
      <c r="B508" s="1">
        <v>2015.0</v>
      </c>
      <c r="C508" s="1">
        <v>5.0</v>
      </c>
      <c r="D508" s="1" t="s">
        <v>21</v>
      </c>
      <c r="E508" s="1">
        <v>166176.28381159273</v>
      </c>
      <c r="F508" s="1">
        <v>178568.18048077746</v>
      </c>
      <c r="G508" s="1">
        <v>4394.0</v>
      </c>
      <c r="H508" s="1">
        <v>37.82</v>
      </c>
      <c r="I508" s="1">
        <v>40.64</v>
      </c>
      <c r="J508" s="1">
        <v>-2.82</v>
      </c>
      <c r="K508" s="1">
        <v>-7.46</v>
      </c>
      <c r="L508" s="1">
        <f t="shared" si="1"/>
        <v>-12391.89667</v>
      </c>
      <c r="M508" s="1" t="str">
        <f t="shared" si="2"/>
        <v>ON SALE</v>
      </c>
      <c r="N508" s="1">
        <f t="shared" si="3"/>
        <v>37.81890847</v>
      </c>
      <c r="O508" s="1">
        <f t="shared" si="4"/>
        <v>37.82313034</v>
      </c>
      <c r="P508" s="4">
        <f t="shared" si="5"/>
        <v>-0.03992572398</v>
      </c>
    </row>
    <row r="509" ht="15.75" customHeight="1">
      <c r="A509" s="3">
        <v>42145.0</v>
      </c>
      <c r="B509" s="1">
        <v>2015.0</v>
      </c>
      <c r="C509" s="1">
        <v>5.0</v>
      </c>
      <c r="D509" s="1" t="s">
        <v>21</v>
      </c>
      <c r="E509" s="1">
        <v>84604.37757263916</v>
      </c>
      <c r="F509" s="1">
        <v>81763.26738933011</v>
      </c>
      <c r="G509" s="1">
        <v>2012.0</v>
      </c>
      <c r="H509" s="1">
        <v>42.05</v>
      </c>
      <c r="I509" s="1">
        <v>40.64</v>
      </c>
      <c r="J509" s="1">
        <v>1.41</v>
      </c>
      <c r="K509" s="1">
        <v>3.36</v>
      </c>
      <c r="L509" s="1">
        <f t="shared" si="1"/>
        <v>2841.110183</v>
      </c>
      <c r="M509" s="1" t="str">
        <f t="shared" si="2"/>
        <v>Regular</v>
      </c>
      <c r="N509" s="1">
        <f t="shared" si="3"/>
        <v>42.04988945</v>
      </c>
      <c r="O509" s="1">
        <f t="shared" si="4"/>
        <v>37.81789476</v>
      </c>
      <c r="P509" s="4">
        <f t="shared" si="5"/>
        <v>-0.03985874091</v>
      </c>
    </row>
    <row r="510" ht="15.75" customHeight="1">
      <c r="A510" s="3">
        <v>42146.0</v>
      </c>
      <c r="B510" s="1">
        <v>2015.0</v>
      </c>
      <c r="C510" s="1">
        <v>5.0</v>
      </c>
      <c r="D510" s="1" t="s">
        <v>21</v>
      </c>
      <c r="E510" s="1">
        <v>321821.02028676093</v>
      </c>
      <c r="F510" s="1">
        <v>346487.5203341674</v>
      </c>
      <c r="G510" s="1">
        <v>8526.0</v>
      </c>
      <c r="H510" s="1">
        <v>37.75</v>
      </c>
      <c r="I510" s="1">
        <v>40.64</v>
      </c>
      <c r="J510" s="1">
        <v>-2.89</v>
      </c>
      <c r="K510" s="1">
        <v>-7.66</v>
      </c>
      <c r="L510" s="1">
        <f t="shared" si="1"/>
        <v>-24666.50005</v>
      </c>
      <c r="M510" s="1" t="str">
        <f t="shared" si="2"/>
        <v>ON SALE</v>
      </c>
      <c r="N510" s="1">
        <f t="shared" si="3"/>
        <v>37.74583864</v>
      </c>
      <c r="O510" s="1">
        <f t="shared" si="4"/>
        <v>37.815492</v>
      </c>
      <c r="P510" s="4">
        <f t="shared" si="5"/>
        <v>-0.03993110232</v>
      </c>
    </row>
    <row r="511" ht="15.75" customHeight="1">
      <c r="A511" s="3">
        <v>42147.0</v>
      </c>
      <c r="B511" s="1">
        <v>2015.0</v>
      </c>
      <c r="C511" s="1">
        <v>5.0</v>
      </c>
      <c r="D511" s="1" t="s">
        <v>21</v>
      </c>
      <c r="E511" s="1">
        <v>418715.41064993</v>
      </c>
      <c r="F511" s="1">
        <v>450936.2792642945</v>
      </c>
      <c r="G511" s="1">
        <v>11096.0</v>
      </c>
      <c r="H511" s="1">
        <v>37.74</v>
      </c>
      <c r="I511" s="1">
        <v>40.64</v>
      </c>
      <c r="J511" s="1">
        <v>-2.9</v>
      </c>
      <c r="K511" s="1">
        <v>-7.7</v>
      </c>
      <c r="L511" s="1">
        <f t="shared" si="1"/>
        <v>-32220.86861</v>
      </c>
      <c r="M511" s="1" t="str">
        <f t="shared" si="2"/>
        <v>ON SALE</v>
      </c>
      <c r="N511" s="1">
        <f t="shared" si="3"/>
        <v>37.73570752</v>
      </c>
      <c r="O511" s="1">
        <f t="shared" si="4"/>
        <v>37.80526043</v>
      </c>
      <c r="P511" s="4">
        <f t="shared" si="5"/>
        <v>-0.03979297568</v>
      </c>
    </row>
    <row r="512" ht="15.75" customHeight="1">
      <c r="A512" s="3">
        <v>42148.0</v>
      </c>
      <c r="B512" s="1">
        <v>2015.0</v>
      </c>
      <c r="C512" s="1">
        <v>5.0</v>
      </c>
      <c r="D512" s="1" t="s">
        <v>21</v>
      </c>
      <c r="E512" s="1">
        <v>169541.26594736153</v>
      </c>
      <c r="F512" s="1">
        <v>182419.1414416233</v>
      </c>
      <c r="G512" s="1">
        <v>4489.0</v>
      </c>
      <c r="H512" s="1">
        <v>37.77</v>
      </c>
      <c r="I512" s="1">
        <v>40.64</v>
      </c>
      <c r="J512" s="1">
        <v>-2.87</v>
      </c>
      <c r="K512" s="1">
        <v>-7.6</v>
      </c>
      <c r="L512" s="1">
        <f t="shared" si="1"/>
        <v>-12877.87549</v>
      </c>
      <c r="M512" s="1" t="str">
        <f t="shared" si="2"/>
        <v>ON SALE</v>
      </c>
      <c r="N512" s="1">
        <f t="shared" si="3"/>
        <v>37.76815904</v>
      </c>
      <c r="O512" s="1">
        <f t="shared" si="4"/>
        <v>37.79183031</v>
      </c>
      <c r="P512" s="4">
        <f t="shared" si="5"/>
        <v>-0.03961019763</v>
      </c>
    </row>
    <row r="513" ht="15.75" customHeight="1">
      <c r="A513" s="3">
        <v>42149.0</v>
      </c>
      <c r="B513" s="1">
        <v>2015.0</v>
      </c>
      <c r="C513" s="1">
        <v>5.0</v>
      </c>
      <c r="D513" s="1" t="s">
        <v>21</v>
      </c>
      <c r="E513" s="1">
        <v>256434.50993607426</v>
      </c>
      <c r="F513" s="1">
        <v>276173.7924514967</v>
      </c>
      <c r="G513" s="1">
        <v>6795.0</v>
      </c>
      <c r="H513" s="1">
        <v>37.74</v>
      </c>
      <c r="I513" s="1">
        <v>40.64</v>
      </c>
      <c r="J513" s="1">
        <v>-2.9</v>
      </c>
      <c r="K513" s="1">
        <v>-7.7</v>
      </c>
      <c r="L513" s="1">
        <f t="shared" si="1"/>
        <v>-19739.28252</v>
      </c>
      <c r="M513" s="1" t="str">
        <f t="shared" si="2"/>
        <v>ON SALE</v>
      </c>
      <c r="N513" s="1">
        <f t="shared" si="3"/>
        <v>37.73870639</v>
      </c>
      <c r="O513" s="1">
        <f t="shared" si="4"/>
        <v>37.78636581</v>
      </c>
      <c r="P513" s="4">
        <f t="shared" si="5"/>
        <v>-0.03953766162</v>
      </c>
    </row>
    <row r="514" ht="15.75" customHeight="1">
      <c r="A514" s="3">
        <v>42150.0</v>
      </c>
      <c r="B514" s="1">
        <v>2015.0</v>
      </c>
      <c r="C514" s="1">
        <v>5.0</v>
      </c>
      <c r="D514" s="1" t="s">
        <v>21</v>
      </c>
      <c r="E514" s="1">
        <v>199385.9124148703</v>
      </c>
      <c r="F514" s="1">
        <v>214719.75281922088</v>
      </c>
      <c r="G514" s="1">
        <v>5283.0</v>
      </c>
      <c r="H514" s="1">
        <v>37.74</v>
      </c>
      <c r="I514" s="1">
        <v>40.64</v>
      </c>
      <c r="J514" s="1">
        <v>-2.9</v>
      </c>
      <c r="K514" s="1">
        <v>-7.69</v>
      </c>
      <c r="L514" s="1">
        <f t="shared" si="1"/>
        <v>-15333.8404</v>
      </c>
      <c r="M514" s="1" t="str">
        <f t="shared" si="2"/>
        <v>ON SALE</v>
      </c>
      <c r="N514" s="1">
        <f t="shared" si="3"/>
        <v>37.74103964</v>
      </c>
      <c r="O514" s="1">
        <f t="shared" si="4"/>
        <v>37.77803443</v>
      </c>
      <c r="P514" s="4">
        <f t="shared" si="5"/>
        <v>-0.03942431333</v>
      </c>
    </row>
    <row r="515" ht="15.75" customHeight="1">
      <c r="A515" s="3">
        <v>42151.0</v>
      </c>
      <c r="B515" s="1">
        <v>2015.0</v>
      </c>
      <c r="C515" s="1">
        <v>5.0</v>
      </c>
      <c r="D515" s="1" t="s">
        <v>21</v>
      </c>
      <c r="E515" s="1">
        <v>243554.22433855545</v>
      </c>
      <c r="F515" s="1">
        <v>262251.0800794076</v>
      </c>
      <c r="G515" s="1">
        <v>6453.0</v>
      </c>
      <c r="H515" s="1">
        <v>37.74</v>
      </c>
      <c r="I515" s="1">
        <v>40.64</v>
      </c>
      <c r="J515" s="1">
        <v>-2.9</v>
      </c>
      <c r="K515" s="1">
        <v>-7.68</v>
      </c>
      <c r="L515" s="1">
        <f t="shared" si="1"/>
        <v>-18696.85574</v>
      </c>
      <c r="M515" s="1" t="str">
        <f t="shared" si="2"/>
        <v>ON SALE</v>
      </c>
      <c r="N515" s="1">
        <f t="shared" si="3"/>
        <v>37.74279007</v>
      </c>
      <c r="O515" s="1">
        <f t="shared" si="4"/>
        <v>37.77152363</v>
      </c>
      <c r="P515" s="4">
        <f t="shared" si="5"/>
        <v>-0.0393358726</v>
      </c>
    </row>
    <row r="516" ht="15.75" customHeight="1">
      <c r="A516" s="3">
        <v>42152.0</v>
      </c>
      <c r="B516" s="1">
        <v>2015.0</v>
      </c>
      <c r="C516" s="1">
        <v>5.0</v>
      </c>
      <c r="D516" s="1" t="s">
        <v>21</v>
      </c>
      <c r="E516" s="1">
        <v>217746.01291984666</v>
      </c>
      <c r="F516" s="1">
        <v>234483.4170098073</v>
      </c>
      <c r="G516" s="1">
        <v>5770.0</v>
      </c>
      <c r="H516" s="1">
        <v>37.74</v>
      </c>
      <c r="I516" s="1">
        <v>40.64</v>
      </c>
      <c r="J516" s="1">
        <v>-2.9</v>
      </c>
      <c r="K516" s="1">
        <v>-7.69</v>
      </c>
      <c r="L516" s="1">
        <f t="shared" si="1"/>
        <v>-16737.40409</v>
      </c>
      <c r="M516" s="1" t="str">
        <f t="shared" si="2"/>
        <v>ON SALE</v>
      </c>
      <c r="N516" s="1">
        <f t="shared" si="3"/>
        <v>37.73761056</v>
      </c>
      <c r="O516" s="1">
        <f t="shared" si="4"/>
        <v>37.76353996</v>
      </c>
      <c r="P516" s="4">
        <f t="shared" si="5"/>
        <v>-0.03922767312</v>
      </c>
    </row>
    <row r="517" ht="15.75" customHeight="1">
      <c r="A517" s="3">
        <v>42153.0</v>
      </c>
      <c r="B517" s="1">
        <v>2015.0</v>
      </c>
      <c r="C517" s="1">
        <v>5.0</v>
      </c>
      <c r="D517" s="1" t="s">
        <v>21</v>
      </c>
      <c r="E517" s="1">
        <v>472160.7521097488</v>
      </c>
      <c r="F517" s="1">
        <v>508265.1469737418</v>
      </c>
      <c r="G517" s="1">
        <v>12507.0</v>
      </c>
      <c r="H517" s="1">
        <v>37.75</v>
      </c>
      <c r="I517" s="1">
        <v>40.64</v>
      </c>
      <c r="J517" s="1">
        <v>-2.89</v>
      </c>
      <c r="K517" s="1">
        <v>-7.65</v>
      </c>
      <c r="L517" s="1">
        <f t="shared" si="1"/>
        <v>-36104.39486</v>
      </c>
      <c r="M517" s="1" t="str">
        <f t="shared" si="2"/>
        <v>ON SALE</v>
      </c>
      <c r="N517" s="1">
        <f t="shared" si="3"/>
        <v>37.75171921</v>
      </c>
      <c r="O517" s="1">
        <f t="shared" si="4"/>
        <v>37.75636809</v>
      </c>
      <c r="P517" s="4">
        <f t="shared" si="5"/>
        <v>-0.03913014908</v>
      </c>
    </row>
    <row r="518" ht="15.75" customHeight="1">
      <c r="A518" s="3">
        <v>42154.0</v>
      </c>
      <c r="B518" s="1">
        <v>2015.0</v>
      </c>
      <c r="C518" s="1">
        <v>5.0</v>
      </c>
      <c r="D518" s="1" t="s">
        <v>21</v>
      </c>
      <c r="E518" s="1">
        <v>546135.462415099</v>
      </c>
      <c r="F518" s="1">
        <v>588250.1811507833</v>
      </c>
      <c r="G518" s="1">
        <v>14475.0</v>
      </c>
      <c r="H518" s="1">
        <v>37.73</v>
      </c>
      <c r="I518" s="1">
        <v>40.64</v>
      </c>
      <c r="J518" s="1">
        <v>-2.91</v>
      </c>
      <c r="K518" s="1">
        <v>-7.71</v>
      </c>
      <c r="L518" s="1">
        <f t="shared" si="1"/>
        <v>-42114.71874</v>
      </c>
      <c r="M518" s="1" t="str">
        <f t="shared" si="2"/>
        <v>ON SALE</v>
      </c>
      <c r="N518" s="1">
        <f t="shared" si="3"/>
        <v>37.72956562</v>
      </c>
      <c r="O518" s="1">
        <f t="shared" si="4"/>
        <v>37.74069845</v>
      </c>
      <c r="P518" s="4">
        <f t="shared" si="5"/>
        <v>-0.0389191938</v>
      </c>
    </row>
    <row r="519" ht="15.75" customHeight="1">
      <c r="A519" s="3">
        <v>42155.0</v>
      </c>
      <c r="B519" s="1">
        <v>2015.0</v>
      </c>
      <c r="C519" s="1">
        <v>5.0</v>
      </c>
      <c r="D519" s="1" t="s">
        <v>21</v>
      </c>
      <c r="E519" s="1">
        <v>264637.3652797106</v>
      </c>
      <c r="F519" s="1">
        <v>284828.65965624875</v>
      </c>
      <c r="G519" s="1">
        <v>7009.0</v>
      </c>
      <c r="H519" s="1">
        <v>37.76</v>
      </c>
      <c r="I519" s="1">
        <v>40.64</v>
      </c>
      <c r="J519" s="1">
        <v>-2.88</v>
      </c>
      <c r="K519" s="1">
        <v>-7.63</v>
      </c>
      <c r="L519" s="1">
        <f t="shared" si="1"/>
        <v>-20191.29438</v>
      </c>
      <c r="M519" s="1" t="str">
        <f t="shared" si="2"/>
        <v>ON SALE</v>
      </c>
      <c r="N519" s="1">
        <f t="shared" si="3"/>
        <v>37.75679345</v>
      </c>
      <c r="O519" s="1">
        <f t="shared" si="4"/>
        <v>37.72234536</v>
      </c>
      <c r="P519" s="4">
        <f t="shared" si="5"/>
        <v>-0.03866793364</v>
      </c>
    </row>
    <row r="520" ht="15.75" customHeight="1">
      <c r="A520" s="3">
        <v>42156.0</v>
      </c>
      <c r="B520" s="1">
        <v>2015.0</v>
      </c>
      <c r="C520" s="1">
        <v>6.0</v>
      </c>
      <c r="D520" s="1" t="s">
        <v>22</v>
      </c>
      <c r="E520" s="1">
        <v>440905.99870597</v>
      </c>
      <c r="F520" s="1">
        <v>474967.3276312148</v>
      </c>
      <c r="G520" s="1">
        <v>11688.0</v>
      </c>
      <c r="H520" s="1">
        <v>37.72</v>
      </c>
      <c r="I520" s="1">
        <v>40.64</v>
      </c>
      <c r="J520" s="1">
        <v>-2.91</v>
      </c>
      <c r="K520" s="1">
        <v>-7.73</v>
      </c>
      <c r="L520" s="1">
        <f t="shared" si="1"/>
        <v>-34061.32893</v>
      </c>
      <c r="M520" s="1" t="str">
        <f t="shared" si="2"/>
        <v>ON SALE</v>
      </c>
      <c r="N520" s="1">
        <f t="shared" si="3"/>
        <v>37.72296361</v>
      </c>
      <c r="O520" s="1">
        <f t="shared" si="4"/>
        <v>37.71337932</v>
      </c>
      <c r="P520" s="4">
        <f t="shared" si="5"/>
        <v>-0.03854759898</v>
      </c>
    </row>
    <row r="521" ht="15.75" customHeight="1">
      <c r="A521" s="3">
        <v>42157.0</v>
      </c>
      <c r="B521" s="1">
        <v>2015.0</v>
      </c>
      <c r="C521" s="1">
        <v>6.0</v>
      </c>
      <c r="D521" s="1" t="s">
        <v>22</v>
      </c>
      <c r="E521" s="1">
        <v>334318.8978331521</v>
      </c>
      <c r="F521" s="1">
        <v>360168.827077008</v>
      </c>
      <c r="G521" s="1">
        <v>8863.0</v>
      </c>
      <c r="H521" s="1">
        <v>37.72</v>
      </c>
      <c r="I521" s="1">
        <v>40.64</v>
      </c>
      <c r="J521" s="1">
        <v>-2.92</v>
      </c>
      <c r="K521" s="1">
        <v>-7.73</v>
      </c>
      <c r="L521" s="1">
        <f t="shared" si="1"/>
        <v>-25849.92924</v>
      </c>
      <c r="M521" s="1" t="str">
        <f t="shared" si="2"/>
        <v>ON SALE</v>
      </c>
      <c r="N521" s="1">
        <f t="shared" si="3"/>
        <v>37.72073765</v>
      </c>
      <c r="O521" s="1">
        <f t="shared" si="4"/>
        <v>37.6983065</v>
      </c>
      <c r="P521" s="4">
        <f t="shared" si="5"/>
        <v>-0.03834027812</v>
      </c>
    </row>
    <row r="522" ht="15.75" customHeight="1">
      <c r="A522" s="3">
        <v>42158.0</v>
      </c>
      <c r="B522" s="1">
        <v>2015.0</v>
      </c>
      <c r="C522" s="1">
        <v>6.0</v>
      </c>
      <c r="D522" s="1" t="s">
        <v>22</v>
      </c>
      <c r="E522" s="1">
        <v>269835.828626803</v>
      </c>
      <c r="F522" s="1">
        <v>290492.1062803224</v>
      </c>
      <c r="G522" s="1">
        <v>7148.0</v>
      </c>
      <c r="H522" s="1">
        <v>37.75</v>
      </c>
      <c r="I522" s="1">
        <v>40.64</v>
      </c>
      <c r="J522" s="1">
        <v>-2.89</v>
      </c>
      <c r="K522" s="1">
        <v>-7.66</v>
      </c>
      <c r="L522" s="1">
        <f t="shared" si="1"/>
        <v>-20656.27765</v>
      </c>
      <c r="M522" s="1" t="str">
        <f t="shared" si="2"/>
        <v>ON SALE</v>
      </c>
      <c r="N522" s="1">
        <f t="shared" si="3"/>
        <v>37.74983613</v>
      </c>
      <c r="O522" s="1">
        <f t="shared" si="4"/>
        <v>37.6867721</v>
      </c>
      <c r="P522" s="4">
        <f t="shared" si="5"/>
        <v>-0.03818131179</v>
      </c>
    </row>
    <row r="523" ht="15.75" customHeight="1">
      <c r="A523" s="3">
        <v>42159.0</v>
      </c>
      <c r="B523" s="1">
        <v>2015.0</v>
      </c>
      <c r="C523" s="1">
        <v>6.0</v>
      </c>
      <c r="D523" s="1" t="s">
        <v>22</v>
      </c>
      <c r="E523" s="1">
        <v>201146.4892798303</v>
      </c>
      <c r="F523" s="1">
        <v>216428.50043796102</v>
      </c>
      <c r="G523" s="1">
        <v>5326.0</v>
      </c>
      <c r="H523" s="1">
        <v>37.77</v>
      </c>
      <c r="I523" s="1">
        <v>40.64</v>
      </c>
      <c r="J523" s="1">
        <v>-2.87</v>
      </c>
      <c r="K523" s="1">
        <v>-7.6</v>
      </c>
      <c r="L523" s="1">
        <f t="shared" si="1"/>
        <v>-15282.01116</v>
      </c>
      <c r="M523" s="1" t="str">
        <f t="shared" si="2"/>
        <v>ON SALE</v>
      </c>
      <c r="N523" s="1">
        <f t="shared" si="3"/>
        <v>37.76689622</v>
      </c>
      <c r="O523" s="1">
        <f t="shared" si="4"/>
        <v>37.67739621</v>
      </c>
      <c r="P523" s="4">
        <f t="shared" si="5"/>
        <v>-0.0380546005</v>
      </c>
    </row>
    <row r="524" ht="15.75" customHeight="1">
      <c r="A524" s="3">
        <v>42160.0</v>
      </c>
      <c r="B524" s="1">
        <v>2015.0</v>
      </c>
      <c r="C524" s="1">
        <v>6.0</v>
      </c>
      <c r="D524" s="1" t="s">
        <v>22</v>
      </c>
      <c r="E524" s="1">
        <v>293461.08393818577</v>
      </c>
      <c r="F524" s="1">
        <v>315937.8621965937</v>
      </c>
      <c r="G524" s="1">
        <v>7775.0</v>
      </c>
      <c r="H524" s="1">
        <v>37.74</v>
      </c>
      <c r="I524" s="1">
        <v>40.64</v>
      </c>
      <c r="J524" s="1">
        <v>-2.89</v>
      </c>
      <c r="K524" s="1">
        <v>-7.66</v>
      </c>
      <c r="L524" s="1">
        <f t="shared" si="1"/>
        <v>-22476.77826</v>
      </c>
      <c r="M524" s="1" t="str">
        <f t="shared" si="2"/>
        <v>ON SALE</v>
      </c>
      <c r="N524" s="1">
        <f t="shared" si="3"/>
        <v>37.74419086</v>
      </c>
      <c r="O524" s="1">
        <f t="shared" si="4"/>
        <v>37.67037949</v>
      </c>
      <c r="P524" s="4">
        <f t="shared" si="5"/>
        <v>-0.03796102229</v>
      </c>
    </row>
    <row r="525" ht="15.75" customHeight="1">
      <c r="A525" s="3">
        <v>42161.0</v>
      </c>
      <c r="B525" s="1">
        <v>2015.0</v>
      </c>
      <c r="C525" s="1">
        <v>6.0</v>
      </c>
      <c r="D525" s="1" t="s">
        <v>22</v>
      </c>
      <c r="E525" s="1">
        <v>349413.00982046727</v>
      </c>
      <c r="F525" s="1">
        <v>376094.7218058327</v>
      </c>
      <c r="G525" s="1">
        <v>9255.0</v>
      </c>
      <c r="H525" s="1">
        <v>37.75</v>
      </c>
      <c r="I525" s="1">
        <v>40.64</v>
      </c>
      <c r="J525" s="1">
        <v>-2.88</v>
      </c>
      <c r="K525" s="1">
        <v>-7.64</v>
      </c>
      <c r="L525" s="1">
        <f t="shared" si="1"/>
        <v>-26681.71199</v>
      </c>
      <c r="M525" s="1" t="str">
        <f t="shared" si="2"/>
        <v>ON SALE</v>
      </c>
      <c r="N525" s="1">
        <f t="shared" si="3"/>
        <v>37.75397189</v>
      </c>
      <c r="O525" s="1">
        <f t="shared" si="4"/>
        <v>37.6600803</v>
      </c>
      <c r="P525" s="4">
        <f t="shared" si="5"/>
        <v>-0.03782143444</v>
      </c>
    </row>
    <row r="526" ht="15.75" customHeight="1">
      <c r="A526" s="3">
        <v>42162.0</v>
      </c>
      <c r="B526" s="1">
        <v>2015.0</v>
      </c>
      <c r="C526" s="1">
        <v>6.0</v>
      </c>
      <c r="D526" s="1" t="s">
        <v>22</v>
      </c>
      <c r="E526" s="1">
        <v>179602.9151631903</v>
      </c>
      <c r="F526" s="1">
        <v>193348.5914462289</v>
      </c>
      <c r="G526" s="1">
        <v>4758.0</v>
      </c>
      <c r="H526" s="1">
        <v>37.75</v>
      </c>
      <c r="I526" s="1">
        <v>40.64</v>
      </c>
      <c r="J526" s="1">
        <v>-2.89</v>
      </c>
      <c r="K526" s="1">
        <v>-7.65</v>
      </c>
      <c r="L526" s="1">
        <f t="shared" si="1"/>
        <v>-13745.67628</v>
      </c>
      <c r="M526" s="1" t="str">
        <f t="shared" si="2"/>
        <v>ON SALE</v>
      </c>
      <c r="N526" s="1">
        <f t="shared" si="3"/>
        <v>37.74756519</v>
      </c>
      <c r="O526" s="1">
        <f t="shared" si="4"/>
        <v>37.64771936</v>
      </c>
      <c r="P526" s="4">
        <f t="shared" si="5"/>
        <v>-0.03765490712</v>
      </c>
    </row>
    <row r="527" ht="15.75" customHeight="1">
      <c r="A527" s="3">
        <v>42163.0</v>
      </c>
      <c r="B527" s="1">
        <v>2015.0</v>
      </c>
      <c r="C527" s="1">
        <v>6.0</v>
      </c>
      <c r="D527" s="1" t="s">
        <v>22</v>
      </c>
      <c r="E527" s="1">
        <v>109810.54567571807</v>
      </c>
      <c r="F527" s="1">
        <v>106166.0816212578</v>
      </c>
      <c r="G527" s="1">
        <v>2613.0</v>
      </c>
      <c r="H527" s="1">
        <v>42.02</v>
      </c>
      <c r="I527" s="1">
        <v>40.63</v>
      </c>
      <c r="J527" s="1">
        <v>1.39</v>
      </c>
      <c r="K527" s="1">
        <v>3.32</v>
      </c>
      <c r="L527" s="1">
        <f t="shared" si="1"/>
        <v>3644.464054</v>
      </c>
      <c r="M527" s="1" t="str">
        <f t="shared" si="2"/>
        <v>Regular</v>
      </c>
      <c r="N527" s="1">
        <f t="shared" si="3"/>
        <v>42.02470175</v>
      </c>
      <c r="O527" s="1">
        <f t="shared" si="4"/>
        <v>37.6413254</v>
      </c>
      <c r="P527" s="4">
        <f t="shared" si="5"/>
        <v>-0.03756836541</v>
      </c>
    </row>
    <row r="528" ht="15.75" customHeight="1">
      <c r="A528" s="3">
        <v>42164.0</v>
      </c>
      <c r="B528" s="1">
        <v>2015.0</v>
      </c>
      <c r="C528" s="1">
        <v>6.0</v>
      </c>
      <c r="D528" s="1" t="s">
        <v>22</v>
      </c>
      <c r="E528" s="1">
        <v>76956.92035364964</v>
      </c>
      <c r="F528" s="1">
        <v>74212.79057454942</v>
      </c>
      <c r="G528" s="1">
        <v>1830.0</v>
      </c>
      <c r="H528" s="1">
        <v>42.05</v>
      </c>
      <c r="I528" s="1">
        <v>40.55</v>
      </c>
      <c r="J528" s="1">
        <v>1.5</v>
      </c>
      <c r="K528" s="1">
        <v>3.57</v>
      </c>
      <c r="L528" s="1">
        <f t="shared" si="1"/>
        <v>2744.129779</v>
      </c>
      <c r="M528" s="1" t="str">
        <f t="shared" si="2"/>
        <v>Regular</v>
      </c>
      <c r="N528" s="1">
        <f t="shared" si="3"/>
        <v>42.05296194</v>
      </c>
      <c r="O528" s="1">
        <f t="shared" si="4"/>
        <v>37.63781004</v>
      </c>
      <c r="P528" s="4">
        <f t="shared" si="5"/>
        <v>-0.03766479367</v>
      </c>
    </row>
    <row r="529" ht="15.75" customHeight="1">
      <c r="A529" s="3">
        <v>42165.0</v>
      </c>
      <c r="B529" s="1">
        <v>2015.0</v>
      </c>
      <c r="C529" s="1">
        <v>6.0</v>
      </c>
      <c r="D529" s="1" t="s">
        <v>22</v>
      </c>
      <c r="E529" s="1">
        <v>71199.58840203952</v>
      </c>
      <c r="F529" s="1">
        <v>68669.39496391629</v>
      </c>
      <c r="G529" s="1">
        <v>1694.0</v>
      </c>
      <c r="H529" s="1">
        <v>42.03</v>
      </c>
      <c r="I529" s="1">
        <v>40.54</v>
      </c>
      <c r="J529" s="1">
        <v>1.49</v>
      </c>
      <c r="K529" s="1">
        <v>3.55</v>
      </c>
      <c r="L529" s="1">
        <f t="shared" si="1"/>
        <v>2530.193438</v>
      </c>
      <c r="M529" s="1" t="str">
        <f t="shared" si="2"/>
        <v>Regular</v>
      </c>
      <c r="N529" s="1">
        <f t="shared" si="3"/>
        <v>42.0304536</v>
      </c>
      <c r="O529" s="1">
        <f t="shared" si="4"/>
        <v>37.63540623</v>
      </c>
      <c r="P529" s="4">
        <f t="shared" si="5"/>
        <v>-0.03773488953</v>
      </c>
    </row>
    <row r="530" ht="15.75" customHeight="1">
      <c r="A530" s="3">
        <v>42166.0</v>
      </c>
      <c r="B530" s="1">
        <v>2015.0</v>
      </c>
      <c r="C530" s="1">
        <v>6.0</v>
      </c>
      <c r="D530" s="1" t="s">
        <v>22</v>
      </c>
      <c r="E530" s="1">
        <v>68988.34667032477</v>
      </c>
      <c r="F530" s="1">
        <v>66539.16519576797</v>
      </c>
      <c r="G530" s="1">
        <v>1642.0</v>
      </c>
      <c r="H530" s="1">
        <v>42.01</v>
      </c>
      <c r="I530" s="1">
        <v>40.52</v>
      </c>
      <c r="J530" s="1">
        <v>1.49</v>
      </c>
      <c r="K530" s="1">
        <v>3.55</v>
      </c>
      <c r="L530" s="1">
        <f t="shared" si="1"/>
        <v>2449.181475</v>
      </c>
      <c r="M530" s="1" t="str">
        <f t="shared" si="2"/>
        <v>Regular</v>
      </c>
      <c r="N530" s="1">
        <f t="shared" si="3"/>
        <v>42.01482745</v>
      </c>
      <c r="O530" s="1">
        <f t="shared" si="4"/>
        <v>37.63319022</v>
      </c>
      <c r="P530" s="4">
        <f t="shared" si="5"/>
        <v>-0.03779975337</v>
      </c>
    </row>
    <row r="531" ht="15.75" customHeight="1">
      <c r="A531" s="3">
        <v>42167.0</v>
      </c>
      <c r="B531" s="1">
        <v>2015.0</v>
      </c>
      <c r="C531" s="1">
        <v>6.0</v>
      </c>
      <c r="D531" s="1" t="s">
        <v>22</v>
      </c>
      <c r="E531" s="1">
        <v>155156.87922800638</v>
      </c>
      <c r="F531" s="1">
        <v>149423.24358090668</v>
      </c>
      <c r="G531" s="1">
        <v>3690.0</v>
      </c>
      <c r="H531" s="1">
        <v>42.05</v>
      </c>
      <c r="I531" s="1">
        <v>40.49</v>
      </c>
      <c r="J531" s="1">
        <v>1.55</v>
      </c>
      <c r="K531" s="1">
        <v>3.7</v>
      </c>
      <c r="L531" s="1">
        <f t="shared" si="1"/>
        <v>5733.635647</v>
      </c>
      <c r="M531" s="1" t="str">
        <f t="shared" si="2"/>
        <v>Regular</v>
      </c>
      <c r="N531" s="1">
        <f t="shared" si="3"/>
        <v>42.04793475</v>
      </c>
      <c r="O531" s="1">
        <f t="shared" si="4"/>
        <v>37.63104907</v>
      </c>
      <c r="P531" s="4">
        <f t="shared" si="5"/>
        <v>-0.03786268212</v>
      </c>
    </row>
    <row r="532" ht="15.75" customHeight="1">
      <c r="A532" s="3">
        <v>42168.0</v>
      </c>
      <c r="B532" s="1">
        <v>2015.0</v>
      </c>
      <c r="C532" s="1">
        <v>6.0</v>
      </c>
      <c r="D532" s="1" t="s">
        <v>22</v>
      </c>
      <c r="E532" s="1">
        <v>185109.52314601393</v>
      </c>
      <c r="F532" s="1">
        <v>178347.369376849</v>
      </c>
      <c r="G532" s="1">
        <v>4404.0</v>
      </c>
      <c r="H532" s="1">
        <v>42.03</v>
      </c>
      <c r="I532" s="1">
        <v>40.5</v>
      </c>
      <c r="J532" s="1">
        <v>1.54</v>
      </c>
      <c r="K532" s="1">
        <v>3.65</v>
      </c>
      <c r="L532" s="1">
        <f t="shared" si="1"/>
        <v>6762.153769</v>
      </c>
      <c r="M532" s="1" t="str">
        <f t="shared" si="2"/>
        <v>Regular</v>
      </c>
      <c r="N532" s="1">
        <f t="shared" si="3"/>
        <v>42.03213514</v>
      </c>
      <c r="O532" s="1">
        <f t="shared" si="4"/>
        <v>37.62627434</v>
      </c>
      <c r="P532" s="4">
        <f t="shared" si="5"/>
        <v>-0.03800741603</v>
      </c>
    </row>
    <row r="533" ht="15.75" customHeight="1">
      <c r="A533" s="3">
        <v>42169.0</v>
      </c>
      <c r="B533" s="1">
        <v>2015.0</v>
      </c>
      <c r="C533" s="1">
        <v>6.0</v>
      </c>
      <c r="D533" s="1" t="s">
        <v>22</v>
      </c>
      <c r="E533" s="1">
        <v>83779.54401080892</v>
      </c>
      <c r="F533" s="1">
        <v>80659.82181208202</v>
      </c>
      <c r="G533" s="1">
        <v>1992.0</v>
      </c>
      <c r="H533" s="1">
        <v>42.06</v>
      </c>
      <c r="I533" s="1">
        <v>40.49</v>
      </c>
      <c r="J533" s="1">
        <v>1.57</v>
      </c>
      <c r="K533" s="1">
        <v>3.72</v>
      </c>
      <c r="L533" s="1">
        <f t="shared" si="1"/>
        <v>3119.722199</v>
      </c>
      <c r="M533" s="1" t="str">
        <f t="shared" si="2"/>
        <v>Regular</v>
      </c>
      <c r="N533" s="1">
        <f t="shared" si="3"/>
        <v>42.05800402</v>
      </c>
      <c r="O533" s="1">
        <f t="shared" si="4"/>
        <v>37.62054969</v>
      </c>
      <c r="P533" s="4">
        <f t="shared" si="5"/>
        <v>-0.03817984564</v>
      </c>
    </row>
    <row r="534" ht="15.75" customHeight="1">
      <c r="A534" s="3">
        <v>42170.0</v>
      </c>
      <c r="B534" s="1">
        <v>2015.0</v>
      </c>
      <c r="C534" s="1">
        <v>6.0</v>
      </c>
      <c r="D534" s="1" t="s">
        <v>22</v>
      </c>
      <c r="E534" s="1">
        <v>149501.57453075759</v>
      </c>
      <c r="F534" s="1">
        <v>143962.87189290192</v>
      </c>
      <c r="G534" s="1">
        <v>3557.0</v>
      </c>
      <c r="H534" s="1">
        <v>42.03</v>
      </c>
      <c r="I534" s="1">
        <v>40.47</v>
      </c>
      <c r="J534" s="1">
        <v>1.56</v>
      </c>
      <c r="K534" s="1">
        <v>3.7</v>
      </c>
      <c r="L534" s="1">
        <f t="shared" si="1"/>
        <v>5538.702638</v>
      </c>
      <c r="M534" s="1" t="str">
        <f t="shared" si="2"/>
        <v>Regular</v>
      </c>
      <c r="N534" s="1">
        <f t="shared" si="3"/>
        <v>42.03024305</v>
      </c>
      <c r="O534" s="1">
        <f t="shared" si="4"/>
        <v>37.61795717</v>
      </c>
      <c r="P534" s="4">
        <f t="shared" si="5"/>
        <v>-0.03825888955</v>
      </c>
    </row>
    <row r="535" ht="15.75" customHeight="1">
      <c r="A535" s="3">
        <v>42171.0</v>
      </c>
      <c r="B535" s="1">
        <v>2015.0</v>
      </c>
      <c r="C535" s="1">
        <v>6.0</v>
      </c>
      <c r="D535" s="1" t="s">
        <v>22</v>
      </c>
      <c r="E535" s="1">
        <v>100477.29679260367</v>
      </c>
      <c r="F535" s="1">
        <v>96810.1035815691</v>
      </c>
      <c r="G535" s="1">
        <v>2395.0</v>
      </c>
      <c r="H535" s="1">
        <v>41.95</v>
      </c>
      <c r="I535" s="1">
        <v>40.42</v>
      </c>
      <c r="J535" s="1">
        <v>1.53</v>
      </c>
      <c r="K535" s="1">
        <v>3.65</v>
      </c>
      <c r="L535" s="1">
        <f t="shared" si="1"/>
        <v>3667.193211</v>
      </c>
      <c r="M535" s="1" t="str">
        <f t="shared" si="2"/>
        <v>Regular</v>
      </c>
      <c r="N535" s="1">
        <f t="shared" si="3"/>
        <v>41.95294229</v>
      </c>
      <c r="O535" s="1">
        <f t="shared" si="4"/>
        <v>37.61334649</v>
      </c>
      <c r="P535" s="4">
        <f t="shared" si="5"/>
        <v>-0.0383999979</v>
      </c>
    </row>
    <row r="536" ht="15.75" customHeight="1">
      <c r="A536" s="3">
        <v>42172.0</v>
      </c>
      <c r="B536" s="1">
        <v>2015.0</v>
      </c>
      <c r="C536" s="1">
        <v>6.0</v>
      </c>
      <c r="D536" s="1" t="s">
        <v>22</v>
      </c>
      <c r="E536" s="1">
        <v>89072.70534707917</v>
      </c>
      <c r="F536" s="1">
        <v>85639.30774599456</v>
      </c>
      <c r="G536" s="1">
        <v>2120.0</v>
      </c>
      <c r="H536" s="1">
        <v>42.02</v>
      </c>
      <c r="I536" s="1">
        <v>40.4</v>
      </c>
      <c r="J536" s="1">
        <v>1.62</v>
      </c>
      <c r="K536" s="1">
        <v>3.85</v>
      </c>
      <c r="L536" s="1">
        <f t="shared" si="1"/>
        <v>3433.397601</v>
      </c>
      <c r="M536" s="1" t="str">
        <f t="shared" si="2"/>
        <v>Regular</v>
      </c>
      <c r="N536" s="1">
        <f t="shared" si="3"/>
        <v>42.01542705</v>
      </c>
      <c r="O536" s="1">
        <f t="shared" si="4"/>
        <v>37.61028954</v>
      </c>
      <c r="P536" s="4">
        <f t="shared" si="5"/>
        <v>-0.03849443819</v>
      </c>
    </row>
    <row r="537" ht="15.75" customHeight="1">
      <c r="A537" s="3">
        <v>42173.0</v>
      </c>
      <c r="B537" s="1">
        <v>2015.0</v>
      </c>
      <c r="C537" s="1">
        <v>6.0</v>
      </c>
      <c r="D537" s="1" t="s">
        <v>22</v>
      </c>
      <c r="E537" s="1">
        <v>78746.59585751953</v>
      </c>
      <c r="F537" s="1">
        <v>75673.78198741567</v>
      </c>
      <c r="G537" s="1">
        <v>1875.0</v>
      </c>
      <c r="H537" s="1">
        <v>42.0</v>
      </c>
      <c r="I537" s="1">
        <v>40.36</v>
      </c>
      <c r="J537" s="1">
        <v>1.64</v>
      </c>
      <c r="K537" s="1">
        <v>3.9</v>
      </c>
      <c r="L537" s="1">
        <f t="shared" si="1"/>
        <v>3072.81387</v>
      </c>
      <c r="M537" s="1" t="str">
        <f t="shared" si="2"/>
        <v>Regular</v>
      </c>
      <c r="N537" s="1">
        <f t="shared" si="3"/>
        <v>41.99818446</v>
      </c>
      <c r="O537" s="1">
        <f t="shared" si="4"/>
        <v>37.60760297</v>
      </c>
      <c r="P537" s="4">
        <f t="shared" si="5"/>
        <v>-0.03858065063</v>
      </c>
    </row>
    <row r="538" ht="15.75" customHeight="1">
      <c r="A538" s="3">
        <v>42174.0</v>
      </c>
      <c r="B538" s="1">
        <v>2015.0</v>
      </c>
      <c r="C538" s="1">
        <v>6.0</v>
      </c>
      <c r="D538" s="1" t="s">
        <v>22</v>
      </c>
      <c r="E538" s="1">
        <v>141913.38242954636</v>
      </c>
      <c r="F538" s="1">
        <v>136017.75039375728</v>
      </c>
      <c r="G538" s="1">
        <v>3376.0</v>
      </c>
      <c r="H538" s="1">
        <v>42.04</v>
      </c>
      <c r="I538" s="1">
        <v>40.29</v>
      </c>
      <c r="J538" s="1">
        <v>1.75</v>
      </c>
      <c r="K538" s="1">
        <v>4.15</v>
      </c>
      <c r="L538" s="1">
        <f t="shared" si="1"/>
        <v>5895.632036</v>
      </c>
      <c r="M538" s="1" t="str">
        <f t="shared" si="2"/>
        <v>Regular</v>
      </c>
      <c r="N538" s="1">
        <f t="shared" si="3"/>
        <v>42.03595451</v>
      </c>
      <c r="O538" s="1">
        <f t="shared" si="4"/>
        <v>37.60525376</v>
      </c>
      <c r="P538" s="4">
        <f t="shared" si="5"/>
        <v>-0.03865750032</v>
      </c>
    </row>
    <row r="539" ht="15.75" customHeight="1">
      <c r="A539" s="3">
        <v>42175.0</v>
      </c>
      <c r="B539" s="1">
        <v>2015.0</v>
      </c>
      <c r="C539" s="1">
        <v>6.0</v>
      </c>
      <c r="D539" s="1" t="s">
        <v>22</v>
      </c>
      <c r="E539" s="1">
        <v>169304.27828351516</v>
      </c>
      <c r="F539" s="1">
        <v>162287.909224824</v>
      </c>
      <c r="G539" s="1">
        <v>4027.0</v>
      </c>
      <c r="H539" s="1">
        <v>42.04</v>
      </c>
      <c r="I539" s="1">
        <v>40.3</v>
      </c>
      <c r="J539" s="1">
        <v>1.74</v>
      </c>
      <c r="K539" s="1">
        <v>4.14</v>
      </c>
      <c r="L539" s="1">
        <f t="shared" si="1"/>
        <v>7016.369059</v>
      </c>
      <c r="M539" s="1" t="str">
        <f t="shared" si="2"/>
        <v>Regular</v>
      </c>
      <c r="N539" s="1">
        <f t="shared" si="3"/>
        <v>42.04228415</v>
      </c>
      <c r="O539" s="1">
        <f t="shared" si="4"/>
        <v>37.60112115</v>
      </c>
      <c r="P539" s="4">
        <f t="shared" si="5"/>
        <v>-0.0388008898</v>
      </c>
    </row>
    <row r="540" ht="15.75" customHeight="1">
      <c r="A540" s="3">
        <v>42176.0</v>
      </c>
      <c r="B540" s="1">
        <v>2015.0</v>
      </c>
      <c r="C540" s="1">
        <v>6.0</v>
      </c>
      <c r="D540" s="1" t="s">
        <v>22</v>
      </c>
      <c r="E540" s="1">
        <v>89512.24283606843</v>
      </c>
      <c r="F540" s="1">
        <v>85781.80703122966</v>
      </c>
      <c r="G540" s="1">
        <v>2128.0</v>
      </c>
      <c r="H540" s="1">
        <v>42.06</v>
      </c>
      <c r="I540" s="1">
        <v>40.31</v>
      </c>
      <c r="J540" s="1">
        <v>1.75</v>
      </c>
      <c r="K540" s="1">
        <v>4.17</v>
      </c>
      <c r="L540" s="1">
        <f t="shared" si="1"/>
        <v>3730.435805</v>
      </c>
      <c r="M540" s="1" t="str">
        <f t="shared" si="2"/>
        <v>Regular</v>
      </c>
      <c r="N540" s="1">
        <f t="shared" si="3"/>
        <v>42.06402389</v>
      </c>
      <c r="O540" s="1">
        <f t="shared" si="4"/>
        <v>37.59615595</v>
      </c>
      <c r="P540" s="4">
        <f t="shared" si="5"/>
        <v>-0.03897241023</v>
      </c>
    </row>
    <row r="541" ht="15.75" customHeight="1">
      <c r="A541" s="3">
        <v>42177.0</v>
      </c>
      <c r="B541" s="1">
        <v>2015.0</v>
      </c>
      <c r="C541" s="1">
        <v>6.0</v>
      </c>
      <c r="D541" s="1" t="s">
        <v>22</v>
      </c>
      <c r="E541" s="1">
        <v>85984.07533913916</v>
      </c>
      <c r="F541" s="1">
        <v>82427.23153690711</v>
      </c>
      <c r="G541" s="1">
        <v>2046.0</v>
      </c>
      <c r="H541" s="1">
        <v>42.03</v>
      </c>
      <c r="I541" s="1">
        <v>40.29</v>
      </c>
      <c r="J541" s="1">
        <v>1.74</v>
      </c>
      <c r="K541" s="1">
        <v>4.14</v>
      </c>
      <c r="L541" s="1">
        <f t="shared" si="1"/>
        <v>3556.843802</v>
      </c>
      <c r="M541" s="1" t="str">
        <f t="shared" si="2"/>
        <v>Regular</v>
      </c>
      <c r="N541" s="1">
        <f t="shared" si="3"/>
        <v>42.02545227</v>
      </c>
      <c r="O541" s="1">
        <f t="shared" si="4"/>
        <v>37.59351404</v>
      </c>
      <c r="P541" s="4">
        <f t="shared" si="5"/>
        <v>-0.03906365419</v>
      </c>
    </row>
    <row r="542" ht="15.75" customHeight="1">
      <c r="A542" s="3">
        <v>42178.0</v>
      </c>
      <c r="B542" s="1">
        <v>2015.0</v>
      </c>
      <c r="C542" s="1">
        <v>6.0</v>
      </c>
      <c r="D542" s="1" t="s">
        <v>22</v>
      </c>
      <c r="E542" s="1">
        <v>64956.46207589964</v>
      </c>
      <c r="F542" s="1">
        <v>62169.77712485719</v>
      </c>
      <c r="G542" s="1">
        <v>1546.0</v>
      </c>
      <c r="H542" s="1">
        <v>42.02</v>
      </c>
      <c r="I542" s="1">
        <v>40.21</v>
      </c>
      <c r="J542" s="1">
        <v>1.8</v>
      </c>
      <c r="K542" s="1">
        <v>4.29</v>
      </c>
      <c r="L542" s="1">
        <f t="shared" si="1"/>
        <v>2786.684951</v>
      </c>
      <c r="M542" s="1" t="str">
        <f t="shared" si="2"/>
        <v>Regular</v>
      </c>
      <c r="N542" s="1">
        <f t="shared" si="3"/>
        <v>42.01582282</v>
      </c>
      <c r="O542" s="1">
        <f t="shared" si="4"/>
        <v>37.59099155</v>
      </c>
      <c r="P542" s="4">
        <f t="shared" si="5"/>
        <v>-0.03915116035</v>
      </c>
    </row>
    <row r="543" ht="15.75" customHeight="1">
      <c r="A543" s="3">
        <v>42179.0</v>
      </c>
      <c r="B543" s="1">
        <v>2015.0</v>
      </c>
      <c r="C543" s="1">
        <v>6.0</v>
      </c>
      <c r="D543" s="1" t="s">
        <v>22</v>
      </c>
      <c r="E543" s="1">
        <v>106613.43283547854</v>
      </c>
      <c r="F543" s="1">
        <v>113428.47427466739</v>
      </c>
      <c r="G543" s="1">
        <v>2822.0</v>
      </c>
      <c r="H543" s="1">
        <v>37.78</v>
      </c>
      <c r="I543" s="1">
        <v>40.19</v>
      </c>
      <c r="J543" s="1">
        <v>-2.41</v>
      </c>
      <c r="K543" s="1">
        <v>-6.39</v>
      </c>
      <c r="L543" s="1">
        <f t="shared" si="1"/>
        <v>-6815.041439</v>
      </c>
      <c r="M543" s="1" t="str">
        <f t="shared" si="2"/>
        <v>ON SALE</v>
      </c>
      <c r="N543" s="1">
        <f t="shared" si="3"/>
        <v>37.77938796</v>
      </c>
      <c r="O543" s="1">
        <f t="shared" si="4"/>
        <v>37.58913456</v>
      </c>
      <c r="P543" s="4">
        <f t="shared" si="5"/>
        <v>-0.03921865529</v>
      </c>
    </row>
    <row r="544" ht="15.75" customHeight="1">
      <c r="A544" s="3">
        <v>42180.0</v>
      </c>
      <c r="B544" s="1">
        <v>2015.0</v>
      </c>
      <c r="C544" s="1">
        <v>6.0</v>
      </c>
      <c r="D544" s="1" t="s">
        <v>22</v>
      </c>
      <c r="E544" s="1">
        <v>183843.81729524274</v>
      </c>
      <c r="F544" s="1">
        <v>195365.7307199428</v>
      </c>
      <c r="G544" s="1">
        <v>4865.0</v>
      </c>
      <c r="H544" s="1">
        <v>37.79</v>
      </c>
      <c r="I544" s="1">
        <v>40.16</v>
      </c>
      <c r="J544" s="1">
        <v>-2.37</v>
      </c>
      <c r="K544" s="1">
        <v>-6.27</v>
      </c>
      <c r="L544" s="1">
        <f t="shared" si="1"/>
        <v>-11521.91342</v>
      </c>
      <c r="M544" s="1" t="str">
        <f t="shared" si="2"/>
        <v>ON SALE</v>
      </c>
      <c r="N544" s="1">
        <f t="shared" si="3"/>
        <v>37.7890683</v>
      </c>
      <c r="O544" s="1">
        <f t="shared" si="4"/>
        <v>37.58576263</v>
      </c>
      <c r="P544" s="4">
        <f t="shared" si="5"/>
        <v>-0.03918525653</v>
      </c>
    </row>
    <row r="545" ht="15.75" customHeight="1">
      <c r="A545" s="3">
        <v>42181.0</v>
      </c>
      <c r="B545" s="1">
        <v>2015.0</v>
      </c>
      <c r="C545" s="1">
        <v>6.0</v>
      </c>
      <c r="D545" s="1" t="s">
        <v>22</v>
      </c>
      <c r="E545" s="1">
        <v>319579.7940943557</v>
      </c>
      <c r="F545" s="1">
        <v>339241.6918024566</v>
      </c>
      <c r="G545" s="1">
        <v>8450.0</v>
      </c>
      <c r="H545" s="1">
        <v>37.82</v>
      </c>
      <c r="I545" s="1">
        <v>40.15</v>
      </c>
      <c r="J545" s="1">
        <v>-2.33</v>
      </c>
      <c r="K545" s="1">
        <v>-6.15</v>
      </c>
      <c r="L545" s="1">
        <f t="shared" si="1"/>
        <v>-19661.89771</v>
      </c>
      <c r="M545" s="1" t="str">
        <f t="shared" si="2"/>
        <v>ON SALE</v>
      </c>
      <c r="N545" s="1">
        <f t="shared" si="3"/>
        <v>37.82009398</v>
      </c>
      <c r="O545" s="1">
        <f t="shared" si="4"/>
        <v>37.58001168</v>
      </c>
      <c r="P545" s="4">
        <f t="shared" si="5"/>
        <v>-0.03913037358</v>
      </c>
    </row>
    <row r="546" ht="15.75" customHeight="1">
      <c r="A546" s="3">
        <v>42182.0</v>
      </c>
      <c r="B546" s="1">
        <v>2015.0</v>
      </c>
      <c r="C546" s="1">
        <v>6.0</v>
      </c>
      <c r="D546" s="1" t="s">
        <v>22</v>
      </c>
      <c r="E546" s="1">
        <v>369245.7587066497</v>
      </c>
      <c r="F546" s="1">
        <v>392017.9734509866</v>
      </c>
      <c r="G546" s="1">
        <v>9770.0</v>
      </c>
      <c r="H546" s="1">
        <v>37.79</v>
      </c>
      <c r="I546" s="1">
        <v>40.12</v>
      </c>
      <c r="J546" s="1">
        <v>-2.33</v>
      </c>
      <c r="K546" s="1">
        <v>-6.17</v>
      </c>
      <c r="L546" s="1">
        <f t="shared" si="1"/>
        <v>-22772.21474</v>
      </c>
      <c r="M546" s="1" t="str">
        <f t="shared" si="2"/>
        <v>ON SALE</v>
      </c>
      <c r="N546" s="1">
        <f t="shared" si="3"/>
        <v>37.79383405</v>
      </c>
      <c r="O546" s="1">
        <f t="shared" si="4"/>
        <v>37.57000227</v>
      </c>
      <c r="P546" s="4">
        <f t="shared" si="5"/>
        <v>-0.03903903885</v>
      </c>
    </row>
    <row r="547" ht="15.75" customHeight="1">
      <c r="A547" s="3">
        <v>42183.0</v>
      </c>
      <c r="B547" s="1">
        <v>2015.0</v>
      </c>
      <c r="C547" s="1">
        <v>6.0</v>
      </c>
      <c r="D547" s="1" t="s">
        <v>22</v>
      </c>
      <c r="E547" s="1">
        <v>185648.49109673031</v>
      </c>
      <c r="F547" s="1">
        <v>197095.10874296943</v>
      </c>
      <c r="G547" s="1">
        <v>4914.0</v>
      </c>
      <c r="H547" s="1">
        <v>37.78</v>
      </c>
      <c r="I547" s="1">
        <v>40.11</v>
      </c>
      <c r="J547" s="1">
        <v>-2.33</v>
      </c>
      <c r="K547" s="1">
        <v>-6.17</v>
      </c>
      <c r="L547" s="1">
        <f t="shared" si="1"/>
        <v>-11446.61765</v>
      </c>
      <c r="M547" s="1" t="str">
        <f t="shared" si="2"/>
        <v>ON SALE</v>
      </c>
      <c r="N547" s="1">
        <f t="shared" si="3"/>
        <v>37.77950572</v>
      </c>
      <c r="O547" s="1">
        <f t="shared" si="4"/>
        <v>37.55843242</v>
      </c>
      <c r="P547" s="4">
        <f t="shared" si="5"/>
        <v>-0.03893187682</v>
      </c>
    </row>
    <row r="548" ht="15.75" customHeight="1">
      <c r="A548" s="3">
        <v>42184.0</v>
      </c>
      <c r="B548" s="1">
        <v>2015.0</v>
      </c>
      <c r="C548" s="1">
        <v>6.0</v>
      </c>
      <c r="D548" s="1" t="s">
        <v>22</v>
      </c>
      <c r="E548" s="1">
        <v>165557.76178385274</v>
      </c>
      <c r="F548" s="1">
        <v>175871.1109205226</v>
      </c>
      <c r="G548" s="1">
        <v>4385.0</v>
      </c>
      <c r="H548" s="1">
        <v>37.76</v>
      </c>
      <c r="I548" s="1">
        <v>40.11</v>
      </c>
      <c r="J548" s="1">
        <v>-2.35</v>
      </c>
      <c r="K548" s="1">
        <v>-6.23</v>
      </c>
      <c r="L548" s="1">
        <f t="shared" si="1"/>
        <v>-10313.34914</v>
      </c>
      <c r="M548" s="1" t="str">
        <f t="shared" si="2"/>
        <v>ON SALE</v>
      </c>
      <c r="N548" s="1">
        <f t="shared" si="3"/>
        <v>37.75547589</v>
      </c>
      <c r="O548" s="1">
        <f t="shared" si="4"/>
        <v>37.55260945</v>
      </c>
      <c r="P548" s="4">
        <f t="shared" si="5"/>
        <v>-0.03887764912</v>
      </c>
    </row>
    <row r="549" ht="15.75" customHeight="1">
      <c r="A549" s="3">
        <v>42185.0</v>
      </c>
      <c r="B549" s="1">
        <v>2015.0</v>
      </c>
      <c r="C549" s="1">
        <v>6.0</v>
      </c>
      <c r="D549" s="1" t="s">
        <v>22</v>
      </c>
      <c r="E549" s="1">
        <v>212465.0832049415</v>
      </c>
      <c r="F549" s="1">
        <v>225678.9345253019</v>
      </c>
      <c r="G549" s="1">
        <v>5627.0</v>
      </c>
      <c r="H549" s="1">
        <v>37.76</v>
      </c>
      <c r="I549" s="1">
        <v>40.11</v>
      </c>
      <c r="J549" s="1">
        <v>-2.35</v>
      </c>
      <c r="K549" s="1">
        <v>-6.22</v>
      </c>
      <c r="L549" s="1">
        <f t="shared" si="1"/>
        <v>-13213.85132</v>
      </c>
      <c r="M549" s="1" t="str">
        <f t="shared" si="2"/>
        <v>ON SALE</v>
      </c>
      <c r="N549" s="1">
        <f t="shared" si="3"/>
        <v>37.75814523</v>
      </c>
      <c r="O549" s="1">
        <f t="shared" si="4"/>
        <v>37.54739382</v>
      </c>
      <c r="P549" s="4">
        <f t="shared" si="5"/>
        <v>-0.03882771254</v>
      </c>
    </row>
    <row r="550" ht="15.75" customHeight="1">
      <c r="A550" s="3">
        <v>42186.0</v>
      </c>
      <c r="B550" s="1">
        <v>2015.0</v>
      </c>
      <c r="C550" s="1">
        <v>7.0</v>
      </c>
      <c r="D550" s="1" t="s">
        <v>23</v>
      </c>
      <c r="E550" s="1">
        <v>305231.90808635816</v>
      </c>
      <c r="F550" s="1">
        <v>324248.8414913401</v>
      </c>
      <c r="G550" s="1">
        <v>8086.0</v>
      </c>
      <c r="H550" s="1">
        <v>37.75</v>
      </c>
      <c r="I550" s="1">
        <v>40.1</v>
      </c>
      <c r="J550" s="1">
        <v>-2.35</v>
      </c>
      <c r="K550" s="1">
        <v>-6.23</v>
      </c>
      <c r="L550" s="1">
        <f t="shared" si="1"/>
        <v>-19016.9334</v>
      </c>
      <c r="M550" s="1" t="str">
        <f t="shared" si="2"/>
        <v>ON SALE</v>
      </c>
      <c r="N550" s="1">
        <f t="shared" si="3"/>
        <v>37.74819541</v>
      </c>
      <c r="O550" s="1">
        <f t="shared" si="4"/>
        <v>37.54067226</v>
      </c>
      <c r="P550" s="4">
        <f t="shared" si="5"/>
        <v>-0.03876359315</v>
      </c>
    </row>
    <row r="551" ht="15.75" customHeight="1">
      <c r="A551" s="3">
        <v>42187.0</v>
      </c>
      <c r="B551" s="1">
        <v>2015.0</v>
      </c>
      <c r="C551" s="1">
        <v>7.0</v>
      </c>
      <c r="D551" s="1" t="s">
        <v>23</v>
      </c>
      <c r="E551" s="1">
        <v>250481.61765724423</v>
      </c>
      <c r="F551" s="1">
        <v>266061.92835854064</v>
      </c>
      <c r="G551" s="1">
        <v>6639.0</v>
      </c>
      <c r="H551" s="1">
        <v>37.73</v>
      </c>
      <c r="I551" s="1">
        <v>40.08</v>
      </c>
      <c r="J551" s="1">
        <v>-2.35</v>
      </c>
      <c r="K551" s="1">
        <v>-6.22</v>
      </c>
      <c r="L551" s="1">
        <f t="shared" si="1"/>
        <v>-15580.3107</v>
      </c>
      <c r="M551" s="1" t="str">
        <f t="shared" si="2"/>
        <v>ON SALE</v>
      </c>
      <c r="N551" s="1">
        <f t="shared" si="3"/>
        <v>37.72881724</v>
      </c>
      <c r="O551" s="1">
        <f t="shared" si="4"/>
        <v>37.5309756</v>
      </c>
      <c r="P551" s="4">
        <f t="shared" si="5"/>
        <v>-0.0386704234</v>
      </c>
    </row>
    <row r="552" ht="15.75" customHeight="1">
      <c r="A552" s="3">
        <v>42188.0</v>
      </c>
      <c r="B552" s="1">
        <v>2015.0</v>
      </c>
      <c r="C552" s="1">
        <v>7.0</v>
      </c>
      <c r="D552" s="1" t="s">
        <v>23</v>
      </c>
      <c r="E552" s="1">
        <v>268410.4807020094</v>
      </c>
      <c r="F552" s="1">
        <v>284592.9946612319</v>
      </c>
      <c r="G552" s="1">
        <v>7104.0</v>
      </c>
      <c r="H552" s="1">
        <v>37.78</v>
      </c>
      <c r="I552" s="1">
        <v>40.06</v>
      </c>
      <c r="J552" s="1">
        <v>-2.28</v>
      </c>
      <c r="K552" s="1">
        <v>-6.03</v>
      </c>
      <c r="L552" s="1">
        <f t="shared" si="1"/>
        <v>-16182.51396</v>
      </c>
      <c r="M552" s="1" t="str">
        <f t="shared" si="2"/>
        <v>ON SALE</v>
      </c>
      <c r="N552" s="1">
        <f t="shared" si="3"/>
        <v>37.78300686</v>
      </c>
      <c r="O552" s="1">
        <f t="shared" si="4"/>
        <v>37.5230353</v>
      </c>
      <c r="P552" s="4">
        <f t="shared" si="5"/>
        <v>-0.03859374479</v>
      </c>
    </row>
    <row r="553" ht="15.75" customHeight="1">
      <c r="A553" s="3">
        <v>42189.0</v>
      </c>
      <c r="B553" s="1">
        <v>2015.0</v>
      </c>
      <c r="C553" s="1">
        <v>7.0</v>
      </c>
      <c r="D553" s="1" t="s">
        <v>23</v>
      </c>
      <c r="E553" s="1">
        <v>316365.4987383921</v>
      </c>
      <c r="F553" s="1">
        <v>335025.0763601264</v>
      </c>
      <c r="G553" s="1">
        <v>8364.0</v>
      </c>
      <c r="H553" s="1">
        <v>37.82</v>
      </c>
      <c r="I553" s="1">
        <v>40.06</v>
      </c>
      <c r="J553" s="1">
        <v>-2.23</v>
      </c>
      <c r="K553" s="1">
        <v>-5.9</v>
      </c>
      <c r="L553" s="1">
        <f t="shared" si="1"/>
        <v>-18659.57762</v>
      </c>
      <c r="M553" s="1" t="str">
        <f t="shared" si="2"/>
        <v>ON SALE</v>
      </c>
      <c r="N553" s="1">
        <f t="shared" si="3"/>
        <v>37.82466508</v>
      </c>
      <c r="O553" s="1">
        <f t="shared" si="4"/>
        <v>37.51453286</v>
      </c>
      <c r="P553" s="4">
        <f t="shared" si="5"/>
        <v>-0.03851771829</v>
      </c>
    </row>
    <row r="554" ht="15.75" customHeight="1">
      <c r="A554" s="3">
        <v>42190.0</v>
      </c>
      <c r="B554" s="1">
        <v>2015.0</v>
      </c>
      <c r="C554" s="1">
        <v>7.0</v>
      </c>
      <c r="D554" s="1" t="s">
        <v>23</v>
      </c>
      <c r="E554" s="1">
        <v>156873.04365826395</v>
      </c>
      <c r="F554" s="1">
        <v>165968.62450163957</v>
      </c>
      <c r="G554" s="1">
        <v>4146.0</v>
      </c>
      <c r="H554" s="1">
        <v>37.84</v>
      </c>
      <c r="I554" s="1">
        <v>40.03</v>
      </c>
      <c r="J554" s="1">
        <v>-2.19</v>
      </c>
      <c r="K554" s="1">
        <v>-5.8</v>
      </c>
      <c r="L554" s="1">
        <f t="shared" si="1"/>
        <v>-9095.580843</v>
      </c>
      <c r="M554" s="1" t="str">
        <f t="shared" si="2"/>
        <v>ON SALE</v>
      </c>
      <c r="N554" s="1">
        <f t="shared" si="3"/>
        <v>37.837203</v>
      </c>
      <c r="O554" s="1">
        <f t="shared" si="4"/>
        <v>37.50447026</v>
      </c>
      <c r="P554" s="4">
        <f t="shared" si="5"/>
        <v>-0.03843285092</v>
      </c>
    </row>
    <row r="555" ht="15.75" customHeight="1">
      <c r="A555" s="3">
        <v>42191.0</v>
      </c>
      <c r="B555" s="1">
        <v>2015.0</v>
      </c>
      <c r="C555" s="1">
        <v>7.0</v>
      </c>
      <c r="D555" s="1" t="s">
        <v>23</v>
      </c>
      <c r="E555" s="1">
        <v>173987.75154080152</v>
      </c>
      <c r="F555" s="1">
        <v>184188.97897635488</v>
      </c>
      <c r="G555" s="1">
        <v>4601.0</v>
      </c>
      <c r="H555" s="1">
        <v>37.82</v>
      </c>
      <c r="I555" s="1">
        <v>40.03</v>
      </c>
      <c r="J555" s="1">
        <v>-2.22</v>
      </c>
      <c r="K555" s="1">
        <v>-5.86</v>
      </c>
      <c r="L555" s="1">
        <f t="shared" si="1"/>
        <v>-10201.22744</v>
      </c>
      <c r="M555" s="1" t="str">
        <f t="shared" si="2"/>
        <v>ON SALE</v>
      </c>
      <c r="N555" s="1">
        <f t="shared" si="3"/>
        <v>37.81520355</v>
      </c>
      <c r="O555" s="1">
        <f t="shared" si="4"/>
        <v>37.49950102</v>
      </c>
      <c r="P555" s="4">
        <f t="shared" si="5"/>
        <v>-0.03839256882</v>
      </c>
    </row>
    <row r="556" ht="15.75" customHeight="1">
      <c r="A556" s="3">
        <v>42192.0</v>
      </c>
      <c r="B556" s="1">
        <v>2015.0</v>
      </c>
      <c r="C556" s="1">
        <v>7.0</v>
      </c>
      <c r="D556" s="1" t="s">
        <v>23</v>
      </c>
      <c r="E556" s="1">
        <v>135753.76604209637</v>
      </c>
      <c r="F556" s="1">
        <v>143799.5986875294</v>
      </c>
      <c r="G556" s="1">
        <v>3593.0</v>
      </c>
      <c r="H556" s="1">
        <v>37.78</v>
      </c>
      <c r="I556" s="1">
        <v>40.02</v>
      </c>
      <c r="J556" s="1">
        <v>-2.24</v>
      </c>
      <c r="K556" s="1">
        <v>-5.93</v>
      </c>
      <c r="L556" s="1">
        <f t="shared" si="1"/>
        <v>-8045.832645</v>
      </c>
      <c r="M556" s="1" t="str">
        <f t="shared" si="2"/>
        <v>ON SALE</v>
      </c>
      <c r="N556" s="1">
        <f t="shared" si="3"/>
        <v>37.7828461</v>
      </c>
      <c r="O556" s="1">
        <f t="shared" si="4"/>
        <v>37.49396053</v>
      </c>
      <c r="P556" s="4">
        <f t="shared" si="5"/>
        <v>-0.03834620527</v>
      </c>
    </row>
    <row r="557" ht="15.75" customHeight="1">
      <c r="A557" s="3">
        <v>42193.0</v>
      </c>
      <c r="B557" s="1">
        <v>2015.0</v>
      </c>
      <c r="C557" s="1">
        <v>7.0</v>
      </c>
      <c r="D557" s="1" t="s">
        <v>23</v>
      </c>
      <c r="E557" s="1">
        <v>84426.50941202953</v>
      </c>
      <c r="F557" s="1">
        <v>84588.96303542092</v>
      </c>
      <c r="G557" s="1">
        <v>2114.0</v>
      </c>
      <c r="H557" s="1">
        <v>39.94</v>
      </c>
      <c r="I557" s="1">
        <v>40.01</v>
      </c>
      <c r="J557" s="1">
        <v>-0.08</v>
      </c>
      <c r="K557" s="1">
        <v>-0.19</v>
      </c>
      <c r="L557" s="1">
        <f t="shared" si="1"/>
        <v>-162.4536234</v>
      </c>
      <c r="M557" s="1" t="str">
        <f t="shared" si="2"/>
        <v>ON SALE</v>
      </c>
      <c r="N557" s="1">
        <f t="shared" si="3"/>
        <v>39.93685403</v>
      </c>
      <c r="O557" s="1">
        <f t="shared" si="4"/>
        <v>37.48963448</v>
      </c>
      <c r="P557" s="4">
        <f t="shared" si="5"/>
        <v>-0.03830874361</v>
      </c>
    </row>
    <row r="558" ht="15.75" customHeight="1">
      <c r="A558" s="3">
        <v>42194.0</v>
      </c>
      <c r="B558" s="1">
        <v>2015.0</v>
      </c>
      <c r="C558" s="1">
        <v>7.0</v>
      </c>
      <c r="D558" s="1" t="s">
        <v>23</v>
      </c>
      <c r="E558" s="1">
        <v>70815.19028553025</v>
      </c>
      <c r="F558" s="1">
        <v>71913.06858060515</v>
      </c>
      <c r="G558" s="1">
        <v>1797.0</v>
      </c>
      <c r="H558" s="1">
        <v>39.41</v>
      </c>
      <c r="I558" s="1">
        <v>40.02</v>
      </c>
      <c r="J558" s="1">
        <v>-0.61</v>
      </c>
      <c r="K558" s="1">
        <v>-1.55</v>
      </c>
      <c r="L558" s="1">
        <f t="shared" si="1"/>
        <v>-1097.878295</v>
      </c>
      <c r="M558" s="1" t="str">
        <f t="shared" si="2"/>
        <v>ON SALE</v>
      </c>
      <c r="N558" s="1">
        <f t="shared" si="3"/>
        <v>39.40745147</v>
      </c>
      <c r="O558" s="1">
        <f t="shared" si="4"/>
        <v>37.48709077</v>
      </c>
      <c r="P558" s="4">
        <f t="shared" si="5"/>
        <v>-0.03834930558</v>
      </c>
    </row>
    <row r="559" ht="15.75" customHeight="1">
      <c r="A559" s="3">
        <v>42195.0</v>
      </c>
      <c r="B559" s="1">
        <v>2015.0</v>
      </c>
      <c r="C559" s="1">
        <v>7.0</v>
      </c>
      <c r="D559" s="1" t="s">
        <v>23</v>
      </c>
      <c r="E559" s="1">
        <v>125983.15175354636</v>
      </c>
      <c r="F559" s="1">
        <v>127884.58724444837</v>
      </c>
      <c r="G559" s="1">
        <v>3195.0</v>
      </c>
      <c r="H559" s="1">
        <v>39.43</v>
      </c>
      <c r="I559" s="1">
        <v>40.03</v>
      </c>
      <c r="J559" s="1">
        <v>-0.6</v>
      </c>
      <c r="K559" s="1">
        <v>-1.51</v>
      </c>
      <c r="L559" s="1">
        <f t="shared" si="1"/>
        <v>-1901.435491</v>
      </c>
      <c r="M559" s="1" t="str">
        <f t="shared" si="2"/>
        <v>ON SALE</v>
      </c>
      <c r="N559" s="1">
        <f t="shared" si="3"/>
        <v>39.4313464</v>
      </c>
      <c r="O559" s="1">
        <f t="shared" si="4"/>
        <v>37.48492043</v>
      </c>
      <c r="P559" s="4">
        <f t="shared" si="5"/>
        <v>-0.03837068835</v>
      </c>
    </row>
    <row r="560" ht="15.75" customHeight="1">
      <c r="A560" s="3">
        <v>42196.0</v>
      </c>
      <c r="B560" s="1">
        <v>2015.0</v>
      </c>
      <c r="C560" s="1">
        <v>7.0</v>
      </c>
      <c r="D560" s="1" t="s">
        <v>23</v>
      </c>
      <c r="E560" s="1">
        <v>142378.18404122637</v>
      </c>
      <c r="F560" s="1">
        <v>143924.56511903758</v>
      </c>
      <c r="G560" s="1">
        <v>3595.0</v>
      </c>
      <c r="H560" s="1">
        <v>39.6</v>
      </c>
      <c r="I560" s="1">
        <v>40.03</v>
      </c>
      <c r="J560" s="1">
        <v>-0.43</v>
      </c>
      <c r="K560" s="1">
        <v>-1.09</v>
      </c>
      <c r="L560" s="1">
        <f t="shared" si="1"/>
        <v>-1546.381078</v>
      </c>
      <c r="M560" s="1" t="str">
        <f t="shared" si="2"/>
        <v>ON SALE</v>
      </c>
      <c r="N560" s="1">
        <f t="shared" si="3"/>
        <v>39.60450182</v>
      </c>
      <c r="O560" s="1">
        <f t="shared" si="4"/>
        <v>37.48104012</v>
      </c>
      <c r="P560" s="4">
        <f t="shared" si="5"/>
        <v>-0.03840951321</v>
      </c>
    </row>
    <row r="561" ht="15.75" customHeight="1">
      <c r="A561" s="3">
        <v>42197.0</v>
      </c>
      <c r="B561" s="1">
        <v>2015.0</v>
      </c>
      <c r="C561" s="1">
        <v>7.0</v>
      </c>
      <c r="D561" s="1" t="s">
        <v>23</v>
      </c>
      <c r="E561" s="1">
        <v>57427.68070701013</v>
      </c>
      <c r="F561" s="1">
        <v>58723.04053175166</v>
      </c>
      <c r="G561" s="1">
        <v>1467.0</v>
      </c>
      <c r="H561" s="1">
        <v>39.15</v>
      </c>
      <c r="I561" s="1">
        <v>40.03</v>
      </c>
      <c r="J561" s="1">
        <v>-0.88</v>
      </c>
      <c r="K561" s="1">
        <v>-2.26</v>
      </c>
      <c r="L561" s="1">
        <f t="shared" si="1"/>
        <v>-1295.359825</v>
      </c>
      <c r="M561" s="1" t="str">
        <f t="shared" si="2"/>
        <v>ON SALE</v>
      </c>
      <c r="N561" s="1">
        <f t="shared" si="3"/>
        <v>39.14633995</v>
      </c>
      <c r="O561" s="1">
        <f t="shared" si="4"/>
        <v>37.47664575</v>
      </c>
      <c r="P561" s="4">
        <f t="shared" si="5"/>
        <v>-0.03846153833</v>
      </c>
    </row>
    <row r="562" ht="15.75" customHeight="1">
      <c r="A562" s="3">
        <v>42198.0</v>
      </c>
      <c r="B562" s="1">
        <v>2015.0</v>
      </c>
      <c r="C562" s="1">
        <v>7.0</v>
      </c>
      <c r="D562" s="1" t="s">
        <v>23</v>
      </c>
      <c r="E562" s="1">
        <v>63331.33100223037</v>
      </c>
      <c r="F562" s="1">
        <v>64690.05906998081</v>
      </c>
      <c r="G562" s="1">
        <v>1610.0</v>
      </c>
      <c r="H562" s="1">
        <v>39.34</v>
      </c>
      <c r="I562" s="1">
        <v>40.18</v>
      </c>
      <c r="J562" s="1">
        <v>-0.84</v>
      </c>
      <c r="K562" s="1">
        <v>-2.15</v>
      </c>
      <c r="L562" s="1">
        <f t="shared" si="1"/>
        <v>-1358.728068</v>
      </c>
      <c r="M562" s="1" t="str">
        <f t="shared" si="2"/>
        <v>ON SALE</v>
      </c>
      <c r="N562" s="1">
        <f t="shared" si="3"/>
        <v>39.33623044</v>
      </c>
      <c r="O562" s="1">
        <f t="shared" si="4"/>
        <v>37.47485194</v>
      </c>
      <c r="P562" s="4">
        <f t="shared" si="5"/>
        <v>-0.03847366281</v>
      </c>
    </row>
    <row r="563" ht="15.75" customHeight="1">
      <c r="A563" s="3">
        <v>42199.0</v>
      </c>
      <c r="B563" s="1">
        <v>2015.0</v>
      </c>
      <c r="C563" s="1">
        <v>7.0</v>
      </c>
      <c r="D563" s="1" t="s">
        <v>23</v>
      </c>
      <c r="E563" s="1">
        <v>51241.02855330037</v>
      </c>
      <c r="F563" s="1">
        <v>52509.91621999616</v>
      </c>
      <c r="G563" s="1">
        <v>1307.0</v>
      </c>
      <c r="H563" s="1">
        <v>39.21</v>
      </c>
      <c r="I563" s="1">
        <v>40.18</v>
      </c>
      <c r="J563" s="1">
        <v>-0.97</v>
      </c>
      <c r="K563" s="1">
        <v>-2.48</v>
      </c>
      <c r="L563" s="1">
        <f t="shared" si="1"/>
        <v>-1268.887667</v>
      </c>
      <c r="M563" s="1" t="str">
        <f t="shared" si="2"/>
        <v>ON SALE</v>
      </c>
      <c r="N563" s="1">
        <f t="shared" si="3"/>
        <v>39.20507158</v>
      </c>
      <c r="O563" s="1">
        <f t="shared" si="4"/>
        <v>37.47276396</v>
      </c>
      <c r="P563" s="4">
        <f t="shared" si="5"/>
        <v>-0.03848798243</v>
      </c>
    </row>
    <row r="564" ht="15.75" customHeight="1">
      <c r="A564" s="3">
        <v>42200.0</v>
      </c>
      <c r="B564" s="1">
        <v>2015.0</v>
      </c>
      <c r="C564" s="1">
        <v>7.0</v>
      </c>
      <c r="D564" s="1" t="s">
        <v>23</v>
      </c>
      <c r="E564" s="1">
        <v>80326.44080925026</v>
      </c>
      <c r="F564" s="1">
        <v>81730.270702131</v>
      </c>
      <c r="G564" s="1">
        <v>2050.0</v>
      </c>
      <c r="H564" s="1">
        <v>39.18</v>
      </c>
      <c r="I564" s="1">
        <v>39.87</v>
      </c>
      <c r="J564" s="1">
        <v>-0.68</v>
      </c>
      <c r="K564" s="1">
        <v>-1.75</v>
      </c>
      <c r="L564" s="1">
        <f t="shared" si="1"/>
        <v>-1403.829893</v>
      </c>
      <c r="M564" s="1" t="str">
        <f t="shared" si="2"/>
        <v>ON SALE</v>
      </c>
      <c r="N564" s="1">
        <f t="shared" si="3"/>
        <v>39.18362966</v>
      </c>
      <c r="O564" s="1">
        <f t="shared" si="4"/>
        <v>37.47106923</v>
      </c>
      <c r="P564" s="4">
        <f t="shared" si="5"/>
        <v>-0.03849733197</v>
      </c>
    </row>
    <row r="565" ht="15.75" customHeight="1">
      <c r="A565" s="3">
        <v>42201.0</v>
      </c>
      <c r="B565" s="1">
        <v>2015.0</v>
      </c>
      <c r="C565" s="1">
        <v>7.0</v>
      </c>
      <c r="D565" s="1" t="s">
        <v>23</v>
      </c>
      <c r="E565" s="1">
        <v>71912.56572806025</v>
      </c>
      <c r="F565" s="1">
        <v>73762.62917326878</v>
      </c>
      <c r="G565" s="1">
        <v>1849.0</v>
      </c>
      <c r="H565" s="1">
        <v>38.89</v>
      </c>
      <c r="I565" s="1">
        <v>39.89</v>
      </c>
      <c r="J565" s="1">
        <v>-1.0</v>
      </c>
      <c r="K565" s="1">
        <v>-2.57</v>
      </c>
      <c r="L565" s="1">
        <f t="shared" si="1"/>
        <v>-1850.063445</v>
      </c>
      <c r="M565" s="1" t="str">
        <f t="shared" si="2"/>
        <v>ON SALE</v>
      </c>
      <c r="N565" s="1">
        <f t="shared" si="3"/>
        <v>38.89268022</v>
      </c>
      <c r="O565" s="1">
        <f t="shared" si="4"/>
        <v>37.46870946</v>
      </c>
      <c r="P565" s="4">
        <f t="shared" si="5"/>
        <v>-0.03851980367</v>
      </c>
    </row>
    <row r="566" ht="15.75" customHeight="1">
      <c r="A566" s="3">
        <v>42202.0</v>
      </c>
      <c r="B566" s="1">
        <v>2015.0</v>
      </c>
      <c r="C566" s="1">
        <v>7.0</v>
      </c>
      <c r="D566" s="1" t="s">
        <v>23</v>
      </c>
      <c r="E566" s="1">
        <v>119204.30953474637</v>
      </c>
      <c r="F566" s="1">
        <v>122669.69942792531</v>
      </c>
      <c r="G566" s="1">
        <v>3070.0</v>
      </c>
      <c r="H566" s="1">
        <v>38.83</v>
      </c>
      <c r="I566" s="1">
        <v>39.96</v>
      </c>
      <c r="J566" s="1">
        <v>-1.13</v>
      </c>
      <c r="K566" s="1">
        <v>-2.91</v>
      </c>
      <c r="L566" s="1">
        <f t="shared" si="1"/>
        <v>-3465.389893</v>
      </c>
      <c r="M566" s="1" t="str">
        <f t="shared" si="2"/>
        <v>ON SALE</v>
      </c>
      <c r="N566" s="1">
        <f t="shared" si="3"/>
        <v>38.82876532</v>
      </c>
      <c r="O566" s="1">
        <f t="shared" si="4"/>
        <v>37.46655502</v>
      </c>
      <c r="P566" s="4">
        <f t="shared" si="5"/>
        <v>-0.03853205914</v>
      </c>
    </row>
    <row r="567" ht="15.75" customHeight="1">
      <c r="A567" s="3">
        <v>42203.0</v>
      </c>
      <c r="B567" s="1">
        <v>2015.0</v>
      </c>
      <c r="C567" s="1">
        <v>7.0</v>
      </c>
      <c r="D567" s="1" t="s">
        <v>23</v>
      </c>
      <c r="E567" s="1">
        <v>129441.27865673638</v>
      </c>
      <c r="F567" s="1">
        <v>132493.43152089373</v>
      </c>
      <c r="G567" s="1">
        <v>3322.0</v>
      </c>
      <c r="H567" s="1">
        <v>38.96</v>
      </c>
      <c r="I567" s="1">
        <v>39.88</v>
      </c>
      <c r="J567" s="1">
        <v>-0.92</v>
      </c>
      <c r="K567" s="1">
        <v>-2.36</v>
      </c>
      <c r="L567" s="1">
        <f t="shared" si="1"/>
        <v>-3052.152864</v>
      </c>
      <c r="M567" s="1" t="str">
        <f t="shared" si="2"/>
        <v>ON SALE</v>
      </c>
      <c r="N567" s="1">
        <f t="shared" si="3"/>
        <v>38.96486414</v>
      </c>
      <c r="O567" s="1">
        <f t="shared" si="4"/>
        <v>37.46287439</v>
      </c>
      <c r="P567" s="4">
        <f t="shared" si="5"/>
        <v>-0.03854710669</v>
      </c>
    </row>
    <row r="568" ht="15.75" customHeight="1">
      <c r="A568" s="3">
        <v>42204.0</v>
      </c>
      <c r="B568" s="1">
        <v>2015.0</v>
      </c>
      <c r="C568" s="1">
        <v>7.0</v>
      </c>
      <c r="D568" s="1" t="s">
        <v>23</v>
      </c>
      <c r="E568" s="1">
        <v>77645.74993512024</v>
      </c>
      <c r="F568" s="1">
        <v>79555.63473624234</v>
      </c>
      <c r="G568" s="1">
        <v>1982.0</v>
      </c>
      <c r="H568" s="1">
        <v>39.18</v>
      </c>
      <c r="I568" s="1">
        <v>40.14</v>
      </c>
      <c r="J568" s="1">
        <v>-0.96</v>
      </c>
      <c r="K568" s="1">
        <v>-2.46</v>
      </c>
      <c r="L568" s="1">
        <f t="shared" si="1"/>
        <v>-1909.884801</v>
      </c>
      <c r="M568" s="1" t="str">
        <f t="shared" si="2"/>
        <v>ON SALE</v>
      </c>
      <c r="N568" s="1">
        <f t="shared" si="3"/>
        <v>39.17545405</v>
      </c>
      <c r="O568" s="1">
        <f t="shared" si="4"/>
        <v>37.45899774</v>
      </c>
      <c r="P568" s="4">
        <f t="shared" si="5"/>
        <v>-0.03857300148</v>
      </c>
    </row>
    <row r="569" ht="15.75" customHeight="1">
      <c r="A569" s="3">
        <v>42205.0</v>
      </c>
      <c r="B569" s="1">
        <v>2015.0</v>
      </c>
      <c r="C569" s="1">
        <v>7.0</v>
      </c>
      <c r="D569" s="1" t="s">
        <v>23</v>
      </c>
      <c r="E569" s="1">
        <v>69926.65036245</v>
      </c>
      <c r="F569" s="1">
        <v>71362.51783813686</v>
      </c>
      <c r="G569" s="1">
        <v>1787.0</v>
      </c>
      <c r="H569" s="1">
        <v>39.13</v>
      </c>
      <c r="I569" s="1">
        <v>39.93</v>
      </c>
      <c r="J569" s="1">
        <v>-0.8</v>
      </c>
      <c r="K569" s="1">
        <v>-2.05</v>
      </c>
      <c r="L569" s="1">
        <f t="shared" si="1"/>
        <v>-1435.867476</v>
      </c>
      <c r="M569" s="1" t="str">
        <f t="shared" si="2"/>
        <v>ON SALE</v>
      </c>
      <c r="N569" s="1">
        <f t="shared" si="3"/>
        <v>39.13075006</v>
      </c>
      <c r="O569" s="1">
        <f t="shared" si="4"/>
        <v>37.45643462</v>
      </c>
      <c r="P569" s="4">
        <f t="shared" si="5"/>
        <v>-0.03858752006</v>
      </c>
    </row>
    <row r="570" ht="15.75" customHeight="1">
      <c r="A570" s="3">
        <v>42206.0</v>
      </c>
      <c r="B570" s="1">
        <v>2015.0</v>
      </c>
      <c r="C570" s="1">
        <v>7.0</v>
      </c>
      <c r="D570" s="1" t="s">
        <v>23</v>
      </c>
      <c r="E570" s="1">
        <v>71973.04430034013</v>
      </c>
      <c r="F570" s="1">
        <v>73851.78839873473</v>
      </c>
      <c r="G570" s="1">
        <v>1846.0</v>
      </c>
      <c r="H570" s="1">
        <v>38.99</v>
      </c>
      <c r="I570" s="1">
        <v>40.01</v>
      </c>
      <c r="J570" s="1">
        <v>-1.02</v>
      </c>
      <c r="K570" s="1">
        <v>-2.61</v>
      </c>
      <c r="L570" s="1">
        <f t="shared" si="1"/>
        <v>-1878.744098</v>
      </c>
      <c r="M570" s="1" t="str">
        <f t="shared" si="2"/>
        <v>ON SALE</v>
      </c>
      <c r="N570" s="1">
        <f t="shared" si="3"/>
        <v>38.98864805</v>
      </c>
      <c r="O570" s="1">
        <f t="shared" si="4"/>
        <v>37.45429622</v>
      </c>
      <c r="P570" s="4">
        <f t="shared" si="5"/>
        <v>-0.0386044264</v>
      </c>
    </row>
    <row r="571" ht="15.75" customHeight="1">
      <c r="A571" s="3">
        <v>42207.0</v>
      </c>
      <c r="B571" s="1">
        <v>2015.0</v>
      </c>
      <c r="C571" s="1">
        <v>7.0</v>
      </c>
      <c r="D571" s="1" t="s">
        <v>23</v>
      </c>
      <c r="E571" s="1">
        <v>44304.898362210246</v>
      </c>
      <c r="F571" s="1">
        <v>45468.83697600943</v>
      </c>
      <c r="G571" s="1">
        <v>1142.0</v>
      </c>
      <c r="H571" s="1">
        <v>38.8</v>
      </c>
      <c r="I571" s="1">
        <v>39.82</v>
      </c>
      <c r="J571" s="1">
        <v>-1.02</v>
      </c>
      <c r="K571" s="1">
        <v>-2.63</v>
      </c>
      <c r="L571" s="1">
        <f t="shared" si="1"/>
        <v>-1163.938614</v>
      </c>
      <c r="M571" s="1" t="str">
        <f t="shared" si="2"/>
        <v>ON SALE</v>
      </c>
      <c r="N571" s="1">
        <f t="shared" si="3"/>
        <v>38.79588298</v>
      </c>
      <c r="O571" s="1">
        <f t="shared" si="4"/>
        <v>37.45201897</v>
      </c>
      <c r="P571" s="4">
        <f t="shared" si="5"/>
        <v>-0.03861648719</v>
      </c>
    </row>
    <row r="572" ht="15.75" customHeight="1">
      <c r="A572" s="3">
        <v>42208.0</v>
      </c>
      <c r="B572" s="1">
        <v>2015.0</v>
      </c>
      <c r="C572" s="1">
        <v>7.0</v>
      </c>
      <c r="D572" s="1" t="s">
        <v>23</v>
      </c>
      <c r="E572" s="1">
        <v>66799.7237304905</v>
      </c>
      <c r="F572" s="1">
        <v>69323.64787191155</v>
      </c>
      <c r="G572" s="1">
        <v>1734.0</v>
      </c>
      <c r="H572" s="1">
        <v>38.52</v>
      </c>
      <c r="I572" s="1">
        <v>39.98</v>
      </c>
      <c r="J572" s="1">
        <v>-1.46</v>
      </c>
      <c r="K572" s="1">
        <v>-3.78</v>
      </c>
      <c r="L572" s="1">
        <f t="shared" si="1"/>
        <v>-2523.924141</v>
      </c>
      <c r="M572" s="1" t="str">
        <f t="shared" si="2"/>
        <v>ON SALE</v>
      </c>
      <c r="N572" s="1">
        <f t="shared" si="3"/>
        <v>38.52348543</v>
      </c>
      <c r="O572" s="1">
        <f t="shared" si="4"/>
        <v>37.45071381</v>
      </c>
      <c r="P572" s="4">
        <f t="shared" si="5"/>
        <v>-0.03862382347</v>
      </c>
    </row>
    <row r="573" ht="15.75" customHeight="1">
      <c r="A573" s="3">
        <v>42209.0</v>
      </c>
      <c r="B573" s="1">
        <v>2015.0</v>
      </c>
      <c r="C573" s="1">
        <v>7.0</v>
      </c>
      <c r="D573" s="1" t="s">
        <v>23</v>
      </c>
      <c r="E573" s="1">
        <v>125689.59284090636</v>
      </c>
      <c r="F573" s="1">
        <v>130428.22639511683</v>
      </c>
      <c r="G573" s="1">
        <v>3259.0</v>
      </c>
      <c r="H573" s="1">
        <v>38.57</v>
      </c>
      <c r="I573" s="1">
        <v>40.02</v>
      </c>
      <c r="J573" s="1">
        <v>-1.45</v>
      </c>
      <c r="K573" s="1">
        <v>-3.77</v>
      </c>
      <c r="L573" s="1">
        <f t="shared" si="1"/>
        <v>-4738.633554</v>
      </c>
      <c r="M573" s="1" t="str">
        <f t="shared" si="2"/>
        <v>ON SALE</v>
      </c>
      <c r="N573" s="1">
        <f t="shared" si="3"/>
        <v>38.56692017</v>
      </c>
      <c r="O573" s="1">
        <f t="shared" si="4"/>
        <v>37.4485917</v>
      </c>
      <c r="P573" s="4">
        <f t="shared" si="5"/>
        <v>-0.0386245771</v>
      </c>
    </row>
    <row r="574" ht="15.75" customHeight="1">
      <c r="A574" s="3">
        <v>42210.0</v>
      </c>
      <c r="B574" s="1">
        <v>2015.0</v>
      </c>
      <c r="C574" s="1">
        <v>7.0</v>
      </c>
      <c r="D574" s="1" t="s">
        <v>23</v>
      </c>
      <c r="E574" s="1">
        <v>138624.94500363516</v>
      </c>
      <c r="F574" s="1">
        <v>143537.39521883638</v>
      </c>
      <c r="G574" s="1">
        <v>3572.0</v>
      </c>
      <c r="H574" s="1">
        <v>38.81</v>
      </c>
      <c r="I574" s="1">
        <v>40.18</v>
      </c>
      <c r="J574" s="1">
        <v>-1.38</v>
      </c>
      <c r="K574" s="1">
        <v>-3.54</v>
      </c>
      <c r="L574" s="1">
        <f t="shared" si="1"/>
        <v>-4912.450215</v>
      </c>
      <c r="M574" s="1" t="str">
        <f t="shared" si="2"/>
        <v>ON SALE</v>
      </c>
      <c r="N574" s="1">
        <f t="shared" si="3"/>
        <v>38.8087752</v>
      </c>
      <c r="O574" s="1">
        <f t="shared" si="4"/>
        <v>37.44452741</v>
      </c>
      <c r="P574" s="4">
        <f t="shared" si="5"/>
        <v>-0.038626138</v>
      </c>
    </row>
    <row r="575" ht="15.75" customHeight="1">
      <c r="A575" s="3">
        <v>42211.0</v>
      </c>
      <c r="B575" s="1">
        <v>2015.0</v>
      </c>
      <c r="C575" s="1">
        <v>7.0</v>
      </c>
      <c r="D575" s="1" t="s">
        <v>23</v>
      </c>
      <c r="E575" s="1">
        <v>81715.04533178038</v>
      </c>
      <c r="F575" s="1">
        <v>85089.22343005694</v>
      </c>
      <c r="G575" s="1">
        <v>2109.0</v>
      </c>
      <c r="H575" s="1">
        <v>38.75</v>
      </c>
      <c r="I575" s="1">
        <v>40.35</v>
      </c>
      <c r="J575" s="1">
        <v>-1.6</v>
      </c>
      <c r="K575" s="1">
        <v>-4.13</v>
      </c>
      <c r="L575" s="1">
        <f t="shared" si="1"/>
        <v>-3374.178098</v>
      </c>
      <c r="M575" s="1" t="str">
        <f t="shared" si="2"/>
        <v>ON SALE</v>
      </c>
      <c r="N575" s="1">
        <f t="shared" si="3"/>
        <v>38.74587261</v>
      </c>
      <c r="O575" s="1">
        <f t="shared" si="4"/>
        <v>37.43977505</v>
      </c>
      <c r="P575" s="4">
        <f t="shared" si="5"/>
        <v>-0.0386320942</v>
      </c>
    </row>
    <row r="576" ht="15.75" customHeight="1">
      <c r="A576" s="3">
        <v>42212.0</v>
      </c>
      <c r="B576" s="1">
        <v>2015.0</v>
      </c>
      <c r="C576" s="1">
        <v>7.0</v>
      </c>
      <c r="D576" s="1" t="s">
        <v>23</v>
      </c>
      <c r="E576" s="1">
        <v>86842.86135788013</v>
      </c>
      <c r="F576" s="1">
        <v>90242.79409715362</v>
      </c>
      <c r="G576" s="1">
        <v>2242.0</v>
      </c>
      <c r="H576" s="1">
        <v>38.73</v>
      </c>
      <c r="I576" s="1">
        <v>40.25</v>
      </c>
      <c r="J576" s="1">
        <v>-1.52</v>
      </c>
      <c r="K576" s="1">
        <v>-3.92</v>
      </c>
      <c r="L576" s="1">
        <f t="shared" si="1"/>
        <v>-3399.932739</v>
      </c>
      <c r="M576" s="1" t="str">
        <f t="shared" si="2"/>
        <v>ON SALE</v>
      </c>
      <c r="N576" s="1">
        <f t="shared" si="3"/>
        <v>38.73455012</v>
      </c>
      <c r="O576" s="1">
        <f t="shared" si="4"/>
        <v>37.43679558</v>
      </c>
      <c r="P576" s="4">
        <f t="shared" si="5"/>
        <v>-0.03862916263</v>
      </c>
    </row>
    <row r="577" ht="15.75" customHeight="1">
      <c r="A577" s="3">
        <v>42213.0</v>
      </c>
      <c r="B577" s="1">
        <v>2015.0</v>
      </c>
      <c r="C577" s="1">
        <v>7.0</v>
      </c>
      <c r="D577" s="1" t="s">
        <v>23</v>
      </c>
      <c r="E577" s="1">
        <v>56976.785283900375</v>
      </c>
      <c r="F577" s="1">
        <v>59094.076857821434</v>
      </c>
      <c r="G577" s="1">
        <v>1474.0</v>
      </c>
      <c r="H577" s="1">
        <v>38.65</v>
      </c>
      <c r="I577" s="1">
        <v>40.09</v>
      </c>
      <c r="J577" s="1">
        <v>-1.44</v>
      </c>
      <c r="K577" s="1">
        <v>-3.72</v>
      </c>
      <c r="L577" s="1">
        <f t="shared" si="1"/>
        <v>-2117.291574</v>
      </c>
      <c r="M577" s="1" t="str">
        <f t="shared" si="2"/>
        <v>ON SALE</v>
      </c>
      <c r="N577" s="1">
        <f t="shared" si="3"/>
        <v>38.65453547</v>
      </c>
      <c r="O577" s="1">
        <f t="shared" si="4"/>
        <v>37.43372487</v>
      </c>
      <c r="P577" s="4">
        <f t="shared" si="5"/>
        <v>-0.0386285514</v>
      </c>
    </row>
    <row r="578" ht="15.75" customHeight="1">
      <c r="A578" s="3">
        <v>42214.0</v>
      </c>
      <c r="B578" s="1">
        <v>2015.0</v>
      </c>
      <c r="C578" s="1">
        <v>7.0</v>
      </c>
      <c r="D578" s="1" t="s">
        <v>23</v>
      </c>
      <c r="E578" s="1">
        <v>53433.66802753037</v>
      </c>
      <c r="F578" s="1">
        <v>55516.52556207961</v>
      </c>
      <c r="G578" s="1">
        <v>1381.0</v>
      </c>
      <c r="H578" s="1">
        <v>38.69</v>
      </c>
      <c r="I578" s="1">
        <v>40.2</v>
      </c>
      <c r="J578" s="1">
        <v>-1.51</v>
      </c>
      <c r="K578" s="1">
        <v>-3.9</v>
      </c>
      <c r="L578" s="1">
        <f t="shared" si="1"/>
        <v>-2082.857535</v>
      </c>
      <c r="M578" s="1" t="str">
        <f t="shared" si="2"/>
        <v>ON SALE</v>
      </c>
      <c r="N578" s="1">
        <f t="shared" si="3"/>
        <v>38.69201161</v>
      </c>
      <c r="O578" s="1">
        <f t="shared" si="4"/>
        <v>37.4318173</v>
      </c>
      <c r="P578" s="4">
        <f t="shared" si="5"/>
        <v>-0.03862968167</v>
      </c>
    </row>
    <row r="579" ht="15.75" customHeight="1">
      <c r="A579" s="3">
        <v>42215.0</v>
      </c>
      <c r="B579" s="1">
        <v>2015.0</v>
      </c>
      <c r="C579" s="1">
        <v>7.0</v>
      </c>
      <c r="D579" s="1" t="s">
        <v>23</v>
      </c>
      <c r="E579" s="1">
        <v>55134.081818380364</v>
      </c>
      <c r="F579" s="1">
        <v>57064.75069601244</v>
      </c>
      <c r="G579" s="1">
        <v>1423.0</v>
      </c>
      <c r="H579" s="1">
        <v>38.74</v>
      </c>
      <c r="I579" s="1">
        <v>40.1</v>
      </c>
      <c r="J579" s="1">
        <v>-1.36</v>
      </c>
      <c r="K579" s="1">
        <v>-3.5</v>
      </c>
      <c r="L579" s="1">
        <f t="shared" si="1"/>
        <v>-1930.668878</v>
      </c>
      <c r="M579" s="1" t="str">
        <f t="shared" si="2"/>
        <v>ON SALE</v>
      </c>
      <c r="N579" s="1">
        <f t="shared" si="3"/>
        <v>38.74496263</v>
      </c>
      <c r="O579" s="1">
        <f t="shared" si="4"/>
        <v>37.42995404</v>
      </c>
      <c r="P579" s="4">
        <f t="shared" si="5"/>
        <v>-0.03862942835</v>
      </c>
    </row>
    <row r="580" ht="15.75" customHeight="1">
      <c r="A580" s="3">
        <v>42216.0</v>
      </c>
      <c r="B580" s="1">
        <v>2015.0</v>
      </c>
      <c r="C580" s="1">
        <v>7.0</v>
      </c>
      <c r="D580" s="1" t="s">
        <v>23</v>
      </c>
      <c r="E580" s="1">
        <v>145033.61079266516</v>
      </c>
      <c r="F580" s="1">
        <v>149876.87328204015</v>
      </c>
      <c r="G580" s="1">
        <v>3740.0</v>
      </c>
      <c r="H580" s="1">
        <v>38.78</v>
      </c>
      <c r="I580" s="1">
        <v>40.07</v>
      </c>
      <c r="J580" s="1">
        <v>-1.29</v>
      </c>
      <c r="K580" s="1">
        <v>-3.34</v>
      </c>
      <c r="L580" s="1">
        <f t="shared" si="1"/>
        <v>-4843.262489</v>
      </c>
      <c r="M580" s="1" t="str">
        <f t="shared" si="2"/>
        <v>ON SALE</v>
      </c>
      <c r="N580" s="1">
        <f t="shared" si="3"/>
        <v>38.77904032</v>
      </c>
      <c r="O580" s="1">
        <f t="shared" si="4"/>
        <v>37.42809986</v>
      </c>
      <c r="P580" s="4">
        <f t="shared" si="5"/>
        <v>-0.03863212328</v>
      </c>
    </row>
    <row r="581" ht="15.75" customHeight="1">
      <c r="A581" s="3">
        <v>42217.0</v>
      </c>
      <c r="B581" s="1">
        <v>2015.0</v>
      </c>
      <c r="C581" s="1">
        <v>8.0</v>
      </c>
      <c r="D581" s="1" t="s">
        <v>24</v>
      </c>
      <c r="E581" s="1">
        <v>173306.90648994275</v>
      </c>
      <c r="F581" s="1">
        <v>178699.97587509945</v>
      </c>
      <c r="G581" s="1">
        <v>4453.0</v>
      </c>
      <c r="H581" s="1">
        <v>38.92</v>
      </c>
      <c r="I581" s="1">
        <v>40.13</v>
      </c>
      <c r="J581" s="1">
        <v>-1.21</v>
      </c>
      <c r="K581" s="1">
        <v>-3.11</v>
      </c>
      <c r="L581" s="1">
        <f t="shared" si="1"/>
        <v>-5393.069385</v>
      </c>
      <c r="M581" s="1" t="str">
        <f t="shared" si="2"/>
        <v>ON SALE</v>
      </c>
      <c r="N581" s="1">
        <f t="shared" si="3"/>
        <v>38.91913463</v>
      </c>
      <c r="O581" s="1">
        <f t="shared" si="4"/>
        <v>37.42326492</v>
      </c>
      <c r="P581" s="4">
        <f t="shared" si="5"/>
        <v>-0.03864242486</v>
      </c>
    </row>
    <row r="582" ht="15.75" customHeight="1">
      <c r="A582" s="3">
        <v>42218.0</v>
      </c>
      <c r="B582" s="1">
        <v>2015.0</v>
      </c>
      <c r="C582" s="1">
        <v>8.0</v>
      </c>
      <c r="D582" s="1" t="s">
        <v>24</v>
      </c>
      <c r="E582" s="1">
        <v>88154.33871239</v>
      </c>
      <c r="F582" s="1">
        <v>90828.66169982335</v>
      </c>
      <c r="G582" s="1">
        <v>2258.0</v>
      </c>
      <c r="H582" s="1">
        <v>39.04</v>
      </c>
      <c r="I582" s="1">
        <v>40.23</v>
      </c>
      <c r="J582" s="1">
        <v>-1.18</v>
      </c>
      <c r="K582" s="1">
        <v>-3.03</v>
      </c>
      <c r="L582" s="1">
        <f t="shared" si="1"/>
        <v>-2674.322987</v>
      </c>
      <c r="M582" s="1" t="str">
        <f t="shared" si="2"/>
        <v>ON SALE</v>
      </c>
      <c r="N582" s="1">
        <f t="shared" si="3"/>
        <v>39.04089403</v>
      </c>
      <c r="O582" s="1">
        <f t="shared" si="4"/>
        <v>37.41736258</v>
      </c>
      <c r="P582" s="4">
        <f t="shared" si="5"/>
        <v>-0.03866014803</v>
      </c>
    </row>
    <row r="583" ht="15.75" customHeight="1">
      <c r="A583" s="3">
        <v>42219.0</v>
      </c>
      <c r="B583" s="1">
        <v>2015.0</v>
      </c>
      <c r="C583" s="1">
        <v>8.0</v>
      </c>
      <c r="D583" s="1" t="s">
        <v>24</v>
      </c>
      <c r="E583" s="1">
        <v>81142.02784779038</v>
      </c>
      <c r="F583" s="1">
        <v>83114.57680933841</v>
      </c>
      <c r="G583" s="1">
        <v>2074.0</v>
      </c>
      <c r="H583" s="1">
        <v>39.12</v>
      </c>
      <c r="I583" s="1">
        <v>40.07</v>
      </c>
      <c r="J583" s="1">
        <v>-0.95</v>
      </c>
      <c r="K583" s="1">
        <v>-2.43</v>
      </c>
      <c r="L583" s="1">
        <f t="shared" si="1"/>
        <v>-1972.548962</v>
      </c>
      <c r="M583" s="1" t="str">
        <f t="shared" si="2"/>
        <v>ON SALE</v>
      </c>
      <c r="N583" s="1">
        <f t="shared" si="3"/>
        <v>39.12344641</v>
      </c>
      <c r="O583" s="1">
        <f t="shared" si="4"/>
        <v>37.41425463</v>
      </c>
      <c r="P583" s="4">
        <f t="shared" si="5"/>
        <v>-0.03867013303</v>
      </c>
    </row>
    <row r="584" ht="15.75" customHeight="1">
      <c r="A584" s="3">
        <v>42220.0</v>
      </c>
      <c r="B584" s="1">
        <v>2015.0</v>
      </c>
      <c r="C584" s="1">
        <v>8.0</v>
      </c>
      <c r="D584" s="1" t="s">
        <v>24</v>
      </c>
      <c r="E584" s="1">
        <v>77672.8827777405</v>
      </c>
      <c r="F584" s="1">
        <v>80417.7464421733</v>
      </c>
      <c r="G584" s="1">
        <v>2007.0</v>
      </c>
      <c r="H584" s="1">
        <v>38.7</v>
      </c>
      <c r="I584" s="1">
        <v>40.07</v>
      </c>
      <c r="J584" s="1">
        <v>-1.37</v>
      </c>
      <c r="K584" s="1">
        <v>-3.53</v>
      </c>
      <c r="L584" s="1">
        <f t="shared" si="1"/>
        <v>-2744.863664</v>
      </c>
      <c r="M584" s="1" t="str">
        <f t="shared" si="2"/>
        <v>ON SALE</v>
      </c>
      <c r="N584" s="1">
        <f t="shared" si="3"/>
        <v>38.70098793</v>
      </c>
      <c r="O584" s="1">
        <f t="shared" si="4"/>
        <v>37.41154728</v>
      </c>
      <c r="P584" s="4">
        <f t="shared" si="5"/>
        <v>-0.03868600742</v>
      </c>
    </row>
    <row r="585" ht="15.75" customHeight="1">
      <c r="A585" s="3">
        <v>42221.0</v>
      </c>
      <c r="B585" s="1">
        <v>2015.0</v>
      </c>
      <c r="C585" s="1">
        <v>8.0</v>
      </c>
      <c r="D585" s="1" t="s">
        <v>24</v>
      </c>
      <c r="E585" s="1">
        <v>75483.42255430049</v>
      </c>
      <c r="F585" s="1">
        <v>78024.28467503063</v>
      </c>
      <c r="G585" s="1">
        <v>1948.0</v>
      </c>
      <c r="H585" s="1">
        <v>38.75</v>
      </c>
      <c r="I585" s="1">
        <v>40.05</v>
      </c>
      <c r="J585" s="1">
        <v>-1.3</v>
      </c>
      <c r="K585" s="1">
        <v>-3.37</v>
      </c>
      <c r="L585" s="1">
        <f t="shared" si="1"/>
        <v>-2540.862121</v>
      </c>
      <c r="M585" s="1" t="str">
        <f t="shared" si="2"/>
        <v>ON SALE</v>
      </c>
      <c r="N585" s="1">
        <f t="shared" si="3"/>
        <v>38.74919022</v>
      </c>
      <c r="O585" s="1">
        <f t="shared" si="4"/>
        <v>37.40892795</v>
      </c>
      <c r="P585" s="4">
        <f t="shared" si="5"/>
        <v>-0.03868955314</v>
      </c>
    </row>
    <row r="586" ht="15.75" customHeight="1">
      <c r="A586" s="3">
        <v>42222.0</v>
      </c>
      <c r="B586" s="1">
        <v>2015.0</v>
      </c>
      <c r="C586" s="1">
        <v>8.0</v>
      </c>
      <c r="D586" s="1" t="s">
        <v>24</v>
      </c>
      <c r="E586" s="1">
        <v>74354.5701020405</v>
      </c>
      <c r="F586" s="1">
        <v>76978.30523840741</v>
      </c>
      <c r="G586" s="1">
        <v>1922.0</v>
      </c>
      <c r="H586" s="1">
        <v>38.69</v>
      </c>
      <c r="I586" s="1">
        <v>40.05</v>
      </c>
      <c r="J586" s="1">
        <v>-1.37</v>
      </c>
      <c r="K586" s="1">
        <v>-3.53</v>
      </c>
      <c r="L586" s="1">
        <f t="shared" si="1"/>
        <v>-2623.735136</v>
      </c>
      <c r="M586" s="1" t="str">
        <f t="shared" si="2"/>
        <v>ON SALE</v>
      </c>
      <c r="N586" s="1">
        <f t="shared" si="3"/>
        <v>38.68604064</v>
      </c>
      <c r="O586" s="1">
        <f t="shared" si="4"/>
        <v>37.40639514</v>
      </c>
      <c r="P586" s="4">
        <f t="shared" si="5"/>
        <v>-0.03869473484</v>
      </c>
    </row>
    <row r="587" ht="15.75" customHeight="1">
      <c r="A587" s="3">
        <v>42223.0</v>
      </c>
      <c r="B587" s="1">
        <v>2015.0</v>
      </c>
      <c r="C587" s="1">
        <v>8.0</v>
      </c>
      <c r="D587" s="1" t="s">
        <v>24</v>
      </c>
      <c r="E587" s="1">
        <v>120326.87629269795</v>
      </c>
      <c r="F587" s="1">
        <v>123707.76157316696</v>
      </c>
      <c r="G587" s="1">
        <v>3088.0</v>
      </c>
      <c r="H587" s="1">
        <v>38.97</v>
      </c>
      <c r="I587" s="1">
        <v>40.06</v>
      </c>
      <c r="J587" s="1">
        <v>-1.09</v>
      </c>
      <c r="K587" s="1">
        <v>-2.81</v>
      </c>
      <c r="L587" s="1">
        <f t="shared" si="1"/>
        <v>-3380.88528</v>
      </c>
      <c r="M587" s="1" t="str">
        <f t="shared" si="2"/>
        <v>ON SALE</v>
      </c>
      <c r="N587" s="1">
        <f t="shared" si="3"/>
        <v>38.96595735</v>
      </c>
      <c r="O587" s="1">
        <f t="shared" si="4"/>
        <v>37.40389363</v>
      </c>
      <c r="P587" s="4">
        <f t="shared" si="5"/>
        <v>-0.0386981977</v>
      </c>
    </row>
    <row r="588" ht="15.75" customHeight="1">
      <c r="A588" s="3">
        <v>42224.0</v>
      </c>
      <c r="B588" s="1">
        <v>2015.0</v>
      </c>
      <c r="C588" s="1">
        <v>8.0</v>
      </c>
      <c r="D588" s="1" t="s">
        <v>24</v>
      </c>
      <c r="E588" s="1">
        <v>131867.99350401637</v>
      </c>
      <c r="F588" s="1">
        <v>135721.42603033097</v>
      </c>
      <c r="G588" s="1">
        <v>3388.0</v>
      </c>
      <c r="H588" s="1">
        <v>38.92</v>
      </c>
      <c r="I588" s="1">
        <v>40.06</v>
      </c>
      <c r="J588" s="1">
        <v>-1.14</v>
      </c>
      <c r="K588" s="1">
        <v>-2.92</v>
      </c>
      <c r="L588" s="1">
        <f t="shared" si="1"/>
        <v>-3853.432526</v>
      </c>
      <c r="M588" s="1" t="str">
        <f t="shared" si="2"/>
        <v>ON SALE</v>
      </c>
      <c r="N588" s="1">
        <f t="shared" si="3"/>
        <v>38.922076</v>
      </c>
      <c r="O588" s="1">
        <f t="shared" si="4"/>
        <v>37.39984994</v>
      </c>
      <c r="P588" s="4">
        <f t="shared" si="5"/>
        <v>-0.03871565782</v>
      </c>
    </row>
    <row r="589" ht="15.75" customHeight="1">
      <c r="A589" s="3">
        <v>42225.0</v>
      </c>
      <c r="B589" s="1">
        <v>2015.0</v>
      </c>
      <c r="C589" s="1">
        <v>8.0</v>
      </c>
      <c r="D589" s="1" t="s">
        <v>24</v>
      </c>
      <c r="E589" s="1">
        <v>75504.00274262049</v>
      </c>
      <c r="F589" s="1">
        <v>77978.69447147881</v>
      </c>
      <c r="G589" s="1">
        <v>1944.0</v>
      </c>
      <c r="H589" s="1">
        <v>38.84</v>
      </c>
      <c r="I589" s="1">
        <v>40.11</v>
      </c>
      <c r="J589" s="1">
        <v>-1.27</v>
      </c>
      <c r="K589" s="1">
        <v>-3.28</v>
      </c>
      <c r="L589" s="1">
        <f t="shared" si="1"/>
        <v>-2474.691729</v>
      </c>
      <c r="M589" s="1" t="str">
        <f t="shared" si="2"/>
        <v>ON SALE</v>
      </c>
      <c r="N589" s="1">
        <f t="shared" si="3"/>
        <v>38.83950758</v>
      </c>
      <c r="O589" s="1">
        <f t="shared" si="4"/>
        <v>37.39540148</v>
      </c>
      <c r="P589" s="4">
        <f t="shared" si="5"/>
        <v>-0.03873282556</v>
      </c>
    </row>
    <row r="590" ht="15.75" customHeight="1">
      <c r="A590" s="3">
        <v>42226.0</v>
      </c>
      <c r="B590" s="1">
        <v>2015.0</v>
      </c>
      <c r="C590" s="1">
        <v>8.0</v>
      </c>
      <c r="D590" s="1" t="s">
        <v>24</v>
      </c>
      <c r="E590" s="1">
        <v>69968.07769908049</v>
      </c>
      <c r="F590" s="1">
        <v>72665.7255271172</v>
      </c>
      <c r="G590" s="1">
        <v>1812.0</v>
      </c>
      <c r="H590" s="1">
        <v>38.61</v>
      </c>
      <c r="I590" s="1">
        <v>40.1</v>
      </c>
      <c r="J590" s="1">
        <v>-1.49</v>
      </c>
      <c r="K590" s="1">
        <v>-3.86</v>
      </c>
      <c r="L590" s="1">
        <f t="shared" si="1"/>
        <v>-2697.647828</v>
      </c>
      <c r="M590" s="1" t="str">
        <f t="shared" si="2"/>
        <v>ON SALE</v>
      </c>
      <c r="N590" s="1">
        <f t="shared" si="3"/>
        <v>38.61372941</v>
      </c>
      <c r="O590" s="1">
        <f t="shared" si="4"/>
        <v>37.39279132</v>
      </c>
      <c r="P590" s="4">
        <f t="shared" si="5"/>
        <v>-0.03873899998</v>
      </c>
    </row>
    <row r="591" ht="15.75" customHeight="1">
      <c r="A591" s="3">
        <v>42227.0</v>
      </c>
      <c r="B591" s="1">
        <v>2015.0</v>
      </c>
      <c r="C591" s="1">
        <v>8.0</v>
      </c>
      <c r="D591" s="1" t="s">
        <v>24</v>
      </c>
      <c r="E591" s="1">
        <v>60187.14904728037</v>
      </c>
      <c r="F591" s="1">
        <v>62538.49327792498</v>
      </c>
      <c r="G591" s="1">
        <v>1563.0</v>
      </c>
      <c r="H591" s="1">
        <v>38.51</v>
      </c>
      <c r="I591" s="1">
        <v>40.01</v>
      </c>
      <c r="J591" s="1">
        <v>-1.5</v>
      </c>
      <c r="K591" s="1">
        <v>-3.91</v>
      </c>
      <c r="L591" s="1">
        <f t="shared" si="1"/>
        <v>-2351.344231</v>
      </c>
      <c r="M591" s="1" t="str">
        <f t="shared" si="2"/>
        <v>ON SALE</v>
      </c>
      <c r="N591" s="1">
        <f t="shared" si="3"/>
        <v>38.50745301</v>
      </c>
      <c r="O591" s="1">
        <f t="shared" si="4"/>
        <v>37.39036283</v>
      </c>
      <c r="P591" s="4">
        <f t="shared" si="5"/>
        <v>-0.03873917648</v>
      </c>
    </row>
    <row r="592" ht="15.75" customHeight="1">
      <c r="A592" s="3">
        <v>42228.0</v>
      </c>
      <c r="B592" s="1">
        <v>2015.0</v>
      </c>
      <c r="C592" s="1">
        <v>8.0</v>
      </c>
      <c r="D592" s="1" t="s">
        <v>24</v>
      </c>
      <c r="E592" s="1">
        <v>44698.700751095246</v>
      </c>
      <c r="F592" s="1">
        <v>46849.567146474845</v>
      </c>
      <c r="G592" s="1">
        <v>1171.0</v>
      </c>
      <c r="H592" s="1">
        <v>38.17</v>
      </c>
      <c r="I592" s="1">
        <v>40.01</v>
      </c>
      <c r="J592" s="1">
        <v>-1.84</v>
      </c>
      <c r="K592" s="1">
        <v>-4.81</v>
      </c>
      <c r="L592" s="1">
        <f t="shared" si="1"/>
        <v>-2150.866395</v>
      </c>
      <c r="M592" s="1" t="str">
        <f t="shared" si="2"/>
        <v>ON SALE</v>
      </c>
      <c r="N592" s="1">
        <f t="shared" si="3"/>
        <v>38.17139261</v>
      </c>
      <c r="O592" s="1">
        <f t="shared" si="4"/>
        <v>37.3883347</v>
      </c>
      <c r="P592" s="4">
        <f t="shared" si="5"/>
        <v>-0.03873890497</v>
      </c>
    </row>
    <row r="593" ht="15.75" customHeight="1">
      <c r="A593" s="3">
        <v>42229.0</v>
      </c>
      <c r="B593" s="1">
        <v>2015.0</v>
      </c>
      <c r="C593" s="1">
        <v>8.0</v>
      </c>
      <c r="D593" s="1" t="s">
        <v>24</v>
      </c>
      <c r="E593" s="1">
        <v>39463.40905993025</v>
      </c>
      <c r="F593" s="1">
        <v>41414.418370139814</v>
      </c>
      <c r="G593" s="1">
        <v>1035.0</v>
      </c>
      <c r="H593" s="1">
        <v>38.13</v>
      </c>
      <c r="I593" s="1">
        <v>40.01</v>
      </c>
      <c r="J593" s="1">
        <v>-1.89</v>
      </c>
      <c r="K593" s="1">
        <v>-4.94</v>
      </c>
      <c r="L593" s="1">
        <f t="shared" si="1"/>
        <v>-1951.00931</v>
      </c>
      <c r="M593" s="1" t="str">
        <f t="shared" si="2"/>
        <v>ON SALE</v>
      </c>
      <c r="N593" s="1">
        <f t="shared" si="3"/>
        <v>38.12889764</v>
      </c>
      <c r="O593" s="1">
        <f t="shared" si="4"/>
        <v>37.3868153</v>
      </c>
      <c r="P593" s="4">
        <f t="shared" si="5"/>
        <v>-0.03873313544</v>
      </c>
    </row>
    <row r="594" ht="15.75" customHeight="1">
      <c r="A594" s="3">
        <v>42230.0</v>
      </c>
      <c r="B594" s="1">
        <v>2015.0</v>
      </c>
      <c r="C594" s="1">
        <v>8.0</v>
      </c>
      <c r="D594" s="1" t="s">
        <v>24</v>
      </c>
      <c r="E594" s="1">
        <v>85794.09690262025</v>
      </c>
      <c r="F594" s="1">
        <v>89898.89422749996</v>
      </c>
      <c r="G594" s="1">
        <v>2247.0</v>
      </c>
      <c r="H594" s="1">
        <v>38.18</v>
      </c>
      <c r="I594" s="1">
        <v>40.01</v>
      </c>
      <c r="J594" s="1">
        <v>-1.83</v>
      </c>
      <c r="K594" s="1">
        <v>-4.78</v>
      </c>
      <c r="L594" s="1">
        <f t="shared" si="1"/>
        <v>-4104.797325</v>
      </c>
      <c r="M594" s="1" t="str">
        <f t="shared" si="2"/>
        <v>ON SALE</v>
      </c>
      <c r="N594" s="1">
        <f t="shared" si="3"/>
        <v>38.18161856</v>
      </c>
      <c r="O594" s="1">
        <f t="shared" si="4"/>
        <v>37.38546793</v>
      </c>
      <c r="P594" s="4">
        <f t="shared" si="5"/>
        <v>-0.03872731898</v>
      </c>
    </row>
    <row r="595" ht="15.75" customHeight="1">
      <c r="A595" s="3">
        <v>42231.0</v>
      </c>
      <c r="B595" s="1">
        <v>2015.0</v>
      </c>
      <c r="C595" s="1">
        <v>8.0</v>
      </c>
      <c r="D595" s="1" t="s">
        <v>24</v>
      </c>
      <c r="E595" s="1">
        <v>117288.01005380173</v>
      </c>
      <c r="F595" s="1">
        <v>122504.35720229718</v>
      </c>
      <c r="G595" s="1">
        <v>3068.0</v>
      </c>
      <c r="H595" s="1">
        <v>38.23</v>
      </c>
      <c r="I595" s="1">
        <v>39.93</v>
      </c>
      <c r="J595" s="1">
        <v>-1.7</v>
      </c>
      <c r="K595" s="1">
        <v>-4.45</v>
      </c>
      <c r="L595" s="1">
        <f t="shared" si="1"/>
        <v>-5216.347148</v>
      </c>
      <c r="M595" s="1" t="str">
        <f t="shared" si="2"/>
        <v>ON SALE</v>
      </c>
      <c r="N595" s="1">
        <f t="shared" si="3"/>
        <v>38.22946873</v>
      </c>
      <c r="O595" s="1">
        <f t="shared" si="4"/>
        <v>37.38254418</v>
      </c>
      <c r="P595" s="4">
        <f t="shared" si="5"/>
        <v>-0.03871653677</v>
      </c>
    </row>
    <row r="596" ht="15.75" customHeight="1">
      <c r="A596" s="3">
        <v>42232.0</v>
      </c>
      <c r="B596" s="1">
        <v>2015.0</v>
      </c>
      <c r="C596" s="1">
        <v>8.0</v>
      </c>
      <c r="D596" s="1" t="s">
        <v>24</v>
      </c>
      <c r="E596" s="1">
        <v>71056.06100378049</v>
      </c>
      <c r="F596" s="1">
        <v>74589.17286625026</v>
      </c>
      <c r="G596" s="1">
        <v>1866.0</v>
      </c>
      <c r="H596" s="1">
        <v>38.08</v>
      </c>
      <c r="I596" s="1">
        <v>39.97</v>
      </c>
      <c r="J596" s="1">
        <v>-1.89</v>
      </c>
      <c r="K596" s="1">
        <v>-4.97</v>
      </c>
      <c r="L596" s="1">
        <f t="shared" si="1"/>
        <v>-3533.111862</v>
      </c>
      <c r="M596" s="1" t="str">
        <f t="shared" si="2"/>
        <v>ON SALE</v>
      </c>
      <c r="N596" s="1">
        <f t="shared" si="3"/>
        <v>38.07934673</v>
      </c>
      <c r="O596" s="1">
        <f t="shared" si="4"/>
        <v>37.37866156</v>
      </c>
      <c r="P596" s="4">
        <f t="shared" si="5"/>
        <v>-0.03870721245</v>
      </c>
    </row>
    <row r="597" ht="15.75" customHeight="1">
      <c r="A597" s="3">
        <v>42233.0</v>
      </c>
      <c r="B597" s="1">
        <v>2015.0</v>
      </c>
      <c r="C597" s="1">
        <v>8.0</v>
      </c>
      <c r="D597" s="1" t="s">
        <v>24</v>
      </c>
      <c r="E597" s="1">
        <v>64394.07445333037</v>
      </c>
      <c r="F597" s="1">
        <v>67505.25413928372</v>
      </c>
      <c r="G597" s="1">
        <v>1690.0</v>
      </c>
      <c r="H597" s="1">
        <v>38.1</v>
      </c>
      <c r="I597" s="1">
        <v>39.94</v>
      </c>
      <c r="J597" s="1">
        <v>-1.84</v>
      </c>
      <c r="K597" s="1">
        <v>-4.83</v>
      </c>
      <c r="L597" s="1">
        <f t="shared" si="1"/>
        <v>-3111.179686</v>
      </c>
      <c r="M597" s="1" t="str">
        <f t="shared" si="2"/>
        <v>ON SALE</v>
      </c>
      <c r="N597" s="1">
        <f t="shared" si="3"/>
        <v>38.10300264</v>
      </c>
      <c r="O597" s="1">
        <f t="shared" si="4"/>
        <v>37.37625436</v>
      </c>
      <c r="P597" s="4">
        <f t="shared" si="5"/>
        <v>-0.03869639515</v>
      </c>
    </row>
    <row r="598" ht="15.75" customHeight="1">
      <c r="A598" s="3">
        <v>42234.0</v>
      </c>
      <c r="B598" s="1">
        <v>2015.0</v>
      </c>
      <c r="C598" s="1">
        <v>8.0</v>
      </c>
      <c r="D598" s="1" t="s">
        <v>24</v>
      </c>
      <c r="E598" s="1">
        <v>35165.972082725246</v>
      </c>
      <c r="F598" s="1">
        <v>36841.967322813805</v>
      </c>
      <c r="G598" s="1">
        <v>922.0</v>
      </c>
      <c r="H598" s="1">
        <v>38.14</v>
      </c>
      <c r="I598" s="1">
        <v>39.96</v>
      </c>
      <c r="J598" s="1">
        <v>-1.82</v>
      </c>
      <c r="K598" s="1">
        <v>-4.77</v>
      </c>
      <c r="L598" s="1">
        <f t="shared" si="1"/>
        <v>-1675.99524</v>
      </c>
      <c r="M598" s="1" t="str">
        <f t="shared" si="2"/>
        <v>ON SALE</v>
      </c>
      <c r="N598" s="1">
        <f t="shared" si="3"/>
        <v>38.14096755</v>
      </c>
      <c r="O598" s="1">
        <f t="shared" si="4"/>
        <v>37.37409459</v>
      </c>
      <c r="P598" s="4">
        <f t="shared" si="5"/>
        <v>-0.03868782798</v>
      </c>
    </row>
    <row r="599" ht="15.75" customHeight="1">
      <c r="A599" s="3">
        <v>42235.0</v>
      </c>
      <c r="B599" s="1">
        <v>2015.0</v>
      </c>
      <c r="C599" s="1">
        <v>8.0</v>
      </c>
      <c r="D599" s="1" t="s">
        <v>24</v>
      </c>
      <c r="E599" s="1">
        <v>23234.183195130125</v>
      </c>
      <c r="F599" s="1">
        <v>24104.085977912528</v>
      </c>
      <c r="G599" s="1">
        <v>604.0</v>
      </c>
      <c r="H599" s="1">
        <v>38.47</v>
      </c>
      <c r="I599" s="1">
        <v>39.91</v>
      </c>
      <c r="J599" s="1">
        <v>-1.44</v>
      </c>
      <c r="K599" s="1">
        <v>-3.74</v>
      </c>
      <c r="L599" s="1">
        <f t="shared" si="1"/>
        <v>-869.9027828</v>
      </c>
      <c r="M599" s="1" t="str">
        <f t="shared" si="2"/>
        <v>ON SALE</v>
      </c>
      <c r="N599" s="1">
        <f t="shared" si="3"/>
        <v>38.46719072</v>
      </c>
      <c r="O599" s="1">
        <f t="shared" si="4"/>
        <v>37.37290797</v>
      </c>
      <c r="P599" s="4">
        <f t="shared" si="5"/>
        <v>-0.03868346177</v>
      </c>
    </row>
    <row r="600" ht="15.75" customHeight="1">
      <c r="A600" s="3">
        <v>42236.0</v>
      </c>
      <c r="B600" s="1">
        <v>2015.0</v>
      </c>
      <c r="C600" s="1">
        <v>8.0</v>
      </c>
      <c r="D600" s="1" t="s">
        <v>24</v>
      </c>
      <c r="E600" s="1">
        <v>24754.957181800124</v>
      </c>
      <c r="F600" s="1">
        <v>25407.174070346187</v>
      </c>
      <c r="G600" s="1">
        <v>643.0</v>
      </c>
      <c r="H600" s="1">
        <v>38.5</v>
      </c>
      <c r="I600" s="1">
        <v>39.51</v>
      </c>
      <c r="J600" s="1">
        <v>-1.01</v>
      </c>
      <c r="K600" s="1">
        <v>-2.63</v>
      </c>
      <c r="L600" s="1">
        <f t="shared" si="1"/>
        <v>-652.2168885</v>
      </c>
      <c r="M600" s="1" t="str">
        <f t="shared" si="2"/>
        <v>ON SALE</v>
      </c>
      <c r="N600" s="1">
        <f t="shared" si="3"/>
        <v>38.4991558</v>
      </c>
      <c r="O600" s="1">
        <f t="shared" si="4"/>
        <v>37.37214547</v>
      </c>
      <c r="P600" s="4">
        <f t="shared" si="5"/>
        <v>-0.03868386151</v>
      </c>
    </row>
    <row r="601" ht="15.75" customHeight="1">
      <c r="A601" s="3">
        <v>42237.0</v>
      </c>
      <c r="B601" s="1">
        <v>2015.0</v>
      </c>
      <c r="C601" s="1">
        <v>8.0</v>
      </c>
      <c r="D601" s="1" t="s">
        <v>24</v>
      </c>
      <c r="E601" s="1">
        <v>76691.2830290555</v>
      </c>
      <c r="F601" s="1">
        <v>78691.9563155523</v>
      </c>
      <c r="G601" s="1">
        <v>2006.0</v>
      </c>
      <c r="H601" s="1">
        <v>38.23</v>
      </c>
      <c r="I601" s="1">
        <v>39.23</v>
      </c>
      <c r="J601" s="1">
        <v>-1.0</v>
      </c>
      <c r="K601" s="1">
        <v>-2.61</v>
      </c>
      <c r="L601" s="1">
        <f t="shared" si="1"/>
        <v>-2000.673286</v>
      </c>
      <c r="M601" s="1" t="str">
        <f t="shared" si="2"/>
        <v>ON SALE</v>
      </c>
      <c r="N601" s="1">
        <f t="shared" si="3"/>
        <v>38.23094867</v>
      </c>
      <c r="O601" s="1">
        <f t="shared" si="4"/>
        <v>37.37145943</v>
      </c>
      <c r="P601" s="4">
        <f t="shared" si="5"/>
        <v>-0.03868809076</v>
      </c>
    </row>
    <row r="602" ht="15.75" customHeight="1">
      <c r="A602" s="3">
        <v>42238.0</v>
      </c>
      <c r="B602" s="1">
        <v>2015.0</v>
      </c>
      <c r="C602" s="1">
        <v>8.0</v>
      </c>
      <c r="D602" s="1" t="s">
        <v>24</v>
      </c>
      <c r="E602" s="1">
        <v>102231.21179235782</v>
      </c>
      <c r="F602" s="1">
        <v>104713.00749977645</v>
      </c>
      <c r="G602" s="1">
        <v>2677.0</v>
      </c>
      <c r="H602" s="1">
        <v>38.19</v>
      </c>
      <c r="I602" s="1">
        <v>39.12</v>
      </c>
      <c r="J602" s="1">
        <v>-0.93</v>
      </c>
      <c r="K602" s="1">
        <v>-2.43</v>
      </c>
      <c r="L602" s="1">
        <f t="shared" si="1"/>
        <v>-2481.795707</v>
      </c>
      <c r="M602" s="1" t="str">
        <f t="shared" si="2"/>
        <v>ON SALE</v>
      </c>
      <c r="N602" s="1">
        <f t="shared" si="3"/>
        <v>38.18872312</v>
      </c>
      <c r="O602" s="1">
        <f t="shared" si="4"/>
        <v>37.36960169</v>
      </c>
      <c r="P602" s="4">
        <f t="shared" si="5"/>
        <v>-0.03870148742</v>
      </c>
    </row>
    <row r="603" ht="15.75" customHeight="1">
      <c r="A603" s="3">
        <v>42239.0</v>
      </c>
      <c r="B603" s="1">
        <v>2015.0</v>
      </c>
      <c r="C603" s="1">
        <v>8.0</v>
      </c>
      <c r="D603" s="1" t="s">
        <v>24</v>
      </c>
      <c r="E603" s="1">
        <v>56974.86802579037</v>
      </c>
      <c r="F603" s="1">
        <v>57548.98515340962</v>
      </c>
      <c r="G603" s="1">
        <v>1467.0</v>
      </c>
      <c r="H603" s="1">
        <v>38.84</v>
      </c>
      <c r="I603" s="1">
        <v>39.23</v>
      </c>
      <c r="J603" s="1">
        <v>-0.39</v>
      </c>
      <c r="K603" s="1">
        <v>-1.01</v>
      </c>
      <c r="L603" s="1">
        <f t="shared" si="1"/>
        <v>-574.1171276</v>
      </c>
      <c r="M603" s="1" t="str">
        <f t="shared" si="2"/>
        <v>ON SALE</v>
      </c>
      <c r="N603" s="1">
        <f t="shared" si="3"/>
        <v>38.83767418</v>
      </c>
      <c r="O603" s="1">
        <f t="shared" si="4"/>
        <v>37.36726712</v>
      </c>
      <c r="P603" s="4">
        <f t="shared" si="5"/>
        <v>-0.03872196015</v>
      </c>
    </row>
    <row r="604" ht="15.75" customHeight="1">
      <c r="A604" s="3">
        <v>42240.0</v>
      </c>
      <c r="B604" s="1">
        <v>2015.0</v>
      </c>
      <c r="C604" s="1">
        <v>8.0</v>
      </c>
      <c r="D604" s="1" t="s">
        <v>24</v>
      </c>
      <c r="E604" s="1">
        <v>59442.73111516537</v>
      </c>
      <c r="F604" s="1">
        <v>59785.42861456379</v>
      </c>
      <c r="G604" s="1">
        <v>1528.0</v>
      </c>
      <c r="H604" s="1">
        <v>38.9</v>
      </c>
      <c r="I604" s="1">
        <v>39.13</v>
      </c>
      <c r="J604" s="1">
        <v>-0.22</v>
      </c>
      <c r="K604" s="1">
        <v>-0.58</v>
      </c>
      <c r="L604" s="1">
        <f t="shared" si="1"/>
        <v>-342.6974994</v>
      </c>
      <c r="M604" s="1" t="str">
        <f t="shared" si="2"/>
        <v>ON SALE</v>
      </c>
      <c r="N604" s="1">
        <f t="shared" si="3"/>
        <v>38.90231094</v>
      </c>
      <c r="O604" s="1">
        <f t="shared" si="4"/>
        <v>37.36590211</v>
      </c>
      <c r="P604" s="4">
        <f t="shared" si="5"/>
        <v>-0.03874463534</v>
      </c>
    </row>
    <row r="605" ht="15.75" customHeight="1">
      <c r="A605" s="3">
        <v>42241.0</v>
      </c>
      <c r="B605" s="1">
        <v>2015.0</v>
      </c>
      <c r="C605" s="1">
        <v>8.0</v>
      </c>
      <c r="D605" s="1" t="s">
        <v>24</v>
      </c>
      <c r="E605" s="1">
        <v>217683.36226402503</v>
      </c>
      <c r="F605" s="1">
        <v>246975.73076564312</v>
      </c>
      <c r="G605" s="1">
        <v>6360.0</v>
      </c>
      <c r="H605" s="1">
        <v>34.23</v>
      </c>
      <c r="I605" s="1">
        <v>38.83</v>
      </c>
      <c r="J605" s="1">
        <v>-4.61</v>
      </c>
      <c r="K605" s="1">
        <v>-13.46</v>
      </c>
      <c r="L605" s="1">
        <f t="shared" si="1"/>
        <v>-29292.3685</v>
      </c>
      <c r="M605" s="1" t="str">
        <f t="shared" si="2"/>
        <v>ON SALE</v>
      </c>
      <c r="N605" s="1">
        <f t="shared" si="3"/>
        <v>34.22694375</v>
      </c>
      <c r="O605" s="1">
        <f t="shared" si="4"/>
        <v>37.36455651</v>
      </c>
      <c r="P605" s="4">
        <f t="shared" si="5"/>
        <v>-0.0387718947</v>
      </c>
    </row>
    <row r="606" ht="15.75" customHeight="1">
      <c r="A606" s="3">
        <v>42242.0</v>
      </c>
      <c r="B606" s="1">
        <v>2015.0</v>
      </c>
      <c r="C606" s="1">
        <v>8.0</v>
      </c>
      <c r="D606" s="1" t="s">
        <v>24</v>
      </c>
      <c r="E606" s="1">
        <v>275458.8068961961</v>
      </c>
      <c r="F606" s="1">
        <v>307092.27437902824</v>
      </c>
      <c r="G606" s="1">
        <v>8035.0</v>
      </c>
      <c r="H606" s="1">
        <v>34.28</v>
      </c>
      <c r="I606" s="1">
        <v>38.22</v>
      </c>
      <c r="J606" s="1">
        <v>-3.94</v>
      </c>
      <c r="K606" s="1">
        <v>-11.48</v>
      </c>
      <c r="L606" s="1">
        <f t="shared" si="1"/>
        <v>-31633.46748</v>
      </c>
      <c r="M606" s="1" t="str">
        <f t="shared" si="2"/>
        <v>ON SALE</v>
      </c>
      <c r="N606" s="1">
        <f t="shared" si="3"/>
        <v>34.28236551</v>
      </c>
      <c r="O606" s="1">
        <f t="shared" si="4"/>
        <v>37.35987149</v>
      </c>
      <c r="P606" s="4">
        <f t="shared" si="5"/>
        <v>-0.03848106062</v>
      </c>
    </row>
    <row r="607" ht="15.75" customHeight="1">
      <c r="A607" s="3">
        <v>42243.0</v>
      </c>
      <c r="B607" s="1">
        <v>2015.0</v>
      </c>
      <c r="C607" s="1">
        <v>8.0</v>
      </c>
      <c r="D607" s="1" t="s">
        <v>24</v>
      </c>
      <c r="E607" s="1">
        <v>228731.86548652744</v>
      </c>
      <c r="F607" s="1">
        <v>252845.44555357666</v>
      </c>
      <c r="G607" s="1">
        <v>6675.0</v>
      </c>
      <c r="H607" s="1">
        <v>34.27</v>
      </c>
      <c r="I607" s="1">
        <v>37.88</v>
      </c>
      <c r="J607" s="1">
        <v>-3.61</v>
      </c>
      <c r="K607" s="1">
        <v>-10.54</v>
      </c>
      <c r="L607" s="1">
        <f t="shared" si="1"/>
        <v>-24113.58007</v>
      </c>
      <c r="M607" s="1" t="str">
        <f t="shared" si="2"/>
        <v>ON SALE</v>
      </c>
      <c r="N607" s="1">
        <f t="shared" si="3"/>
        <v>34.26694614</v>
      </c>
      <c r="O607" s="1">
        <f t="shared" si="4"/>
        <v>37.35639245</v>
      </c>
      <c r="P607" s="4">
        <f t="shared" si="5"/>
        <v>-0.0381865686</v>
      </c>
    </row>
    <row r="608" ht="15.75" customHeight="1">
      <c r="A608" s="3">
        <v>42244.0</v>
      </c>
      <c r="B608" s="1">
        <v>2015.0</v>
      </c>
      <c r="C608" s="1">
        <v>8.0</v>
      </c>
      <c r="D608" s="1" t="s">
        <v>24</v>
      </c>
      <c r="E608" s="1">
        <v>387639.119999522</v>
      </c>
      <c r="F608" s="1">
        <v>426783.3022181441</v>
      </c>
      <c r="G608" s="1">
        <v>11330.0</v>
      </c>
      <c r="H608" s="1">
        <v>34.21</v>
      </c>
      <c r="I608" s="1">
        <v>37.67</v>
      </c>
      <c r="J608" s="1">
        <v>-3.45</v>
      </c>
      <c r="K608" s="1">
        <v>-10.1</v>
      </c>
      <c r="L608" s="1">
        <f t="shared" si="1"/>
        <v>-39144.18222</v>
      </c>
      <c r="M608" s="1" t="str">
        <f t="shared" si="2"/>
        <v>ON SALE</v>
      </c>
      <c r="N608" s="1">
        <f t="shared" si="3"/>
        <v>34.21351456</v>
      </c>
      <c r="O608" s="1">
        <f t="shared" si="4"/>
        <v>37.35462751</v>
      </c>
      <c r="P608" s="4">
        <f t="shared" si="5"/>
        <v>-0.03797055286</v>
      </c>
    </row>
    <row r="609" ht="15.75" customHeight="1">
      <c r="A609" s="3">
        <v>42245.0</v>
      </c>
      <c r="B609" s="1">
        <v>2015.0</v>
      </c>
      <c r="C609" s="1">
        <v>8.0</v>
      </c>
      <c r="D609" s="1" t="s">
        <v>24</v>
      </c>
      <c r="E609" s="1">
        <v>461188.0048517348</v>
      </c>
      <c r="F609" s="1">
        <v>504578.1887572265</v>
      </c>
      <c r="G609" s="1">
        <v>13484.0</v>
      </c>
      <c r="H609" s="1">
        <v>34.2</v>
      </c>
      <c r="I609" s="1">
        <v>37.42</v>
      </c>
      <c r="J609" s="1">
        <v>-3.22</v>
      </c>
      <c r="K609" s="1">
        <v>-9.41</v>
      </c>
      <c r="L609" s="1">
        <f t="shared" si="1"/>
        <v>-43390.18391</v>
      </c>
      <c r="M609" s="1" t="str">
        <f t="shared" si="2"/>
        <v>ON SALE</v>
      </c>
      <c r="N609" s="1">
        <f t="shared" si="3"/>
        <v>34.20261086</v>
      </c>
      <c r="O609" s="1">
        <f t="shared" si="4"/>
        <v>37.35281995</v>
      </c>
      <c r="P609" s="4">
        <f t="shared" si="5"/>
        <v>-0.03762559518</v>
      </c>
    </row>
    <row r="610" ht="15.75" customHeight="1">
      <c r="A610" s="3">
        <v>42246.0</v>
      </c>
      <c r="B610" s="1">
        <v>2015.0</v>
      </c>
      <c r="C610" s="1">
        <v>8.0</v>
      </c>
      <c r="D610" s="1" t="s">
        <v>24</v>
      </c>
      <c r="E610" s="1">
        <v>202249.677169425</v>
      </c>
      <c r="F610" s="1">
        <v>220152.18675395823</v>
      </c>
      <c r="G610" s="1">
        <v>5913.0</v>
      </c>
      <c r="H610" s="1">
        <v>34.2</v>
      </c>
      <c r="I610" s="1">
        <v>37.23</v>
      </c>
      <c r="J610" s="1">
        <v>-3.03</v>
      </c>
      <c r="K610" s="1">
        <v>-8.85</v>
      </c>
      <c r="L610" s="1">
        <f t="shared" si="1"/>
        <v>-17902.50958</v>
      </c>
      <c r="M610" s="1" t="str">
        <f t="shared" si="2"/>
        <v>ON SALE</v>
      </c>
      <c r="N610" s="1">
        <f t="shared" si="3"/>
        <v>34.20424102</v>
      </c>
      <c r="O610" s="1">
        <f t="shared" si="4"/>
        <v>37.35235269</v>
      </c>
      <c r="P610" s="4">
        <f t="shared" si="5"/>
        <v>-0.03725545478</v>
      </c>
    </row>
    <row r="611" ht="15.75" customHeight="1">
      <c r="A611" s="3">
        <v>42247.0</v>
      </c>
      <c r="B611" s="1">
        <v>2015.0</v>
      </c>
      <c r="C611" s="1">
        <v>8.0</v>
      </c>
      <c r="D611" s="1" t="s">
        <v>24</v>
      </c>
      <c r="E611" s="1">
        <v>332559.76497908594</v>
      </c>
      <c r="F611" s="1">
        <v>361970.285938652</v>
      </c>
      <c r="G611" s="1">
        <v>9721.0</v>
      </c>
      <c r="H611" s="1">
        <v>34.21</v>
      </c>
      <c r="I611" s="1">
        <v>37.24</v>
      </c>
      <c r="J611" s="1">
        <v>-3.03</v>
      </c>
      <c r="K611" s="1">
        <v>-8.84</v>
      </c>
      <c r="L611" s="1">
        <f t="shared" si="1"/>
        <v>-29410.52096</v>
      </c>
      <c r="M611" s="1" t="str">
        <f t="shared" si="2"/>
        <v>ON SALE</v>
      </c>
      <c r="N611" s="1">
        <f t="shared" si="3"/>
        <v>34.210448</v>
      </c>
      <c r="O611" s="1">
        <f t="shared" si="4"/>
        <v>37.35271842</v>
      </c>
      <c r="P611" s="4">
        <f t="shared" si="5"/>
        <v>-0.0371076486</v>
      </c>
    </row>
    <row r="612" ht="15.75" customHeight="1">
      <c r="A612" s="3">
        <v>42248.0</v>
      </c>
      <c r="B612" s="1">
        <v>2015.0</v>
      </c>
      <c r="C612" s="1">
        <v>9.0</v>
      </c>
      <c r="D612" s="1" t="s">
        <v>25</v>
      </c>
      <c r="E612" s="1">
        <v>384806.7715819784</v>
      </c>
      <c r="F612" s="1">
        <v>418101.5975483603</v>
      </c>
      <c r="G612" s="1">
        <v>11257.0</v>
      </c>
      <c r="H612" s="1">
        <v>34.18</v>
      </c>
      <c r="I612" s="1">
        <v>37.14</v>
      </c>
      <c r="J612" s="1">
        <v>-2.96</v>
      </c>
      <c r="K612" s="1">
        <v>-8.65</v>
      </c>
      <c r="L612" s="1">
        <f t="shared" si="1"/>
        <v>-33294.82597</v>
      </c>
      <c r="M612" s="1" t="str">
        <f t="shared" si="2"/>
        <v>ON SALE</v>
      </c>
      <c r="N612" s="1">
        <f t="shared" si="3"/>
        <v>34.18377646</v>
      </c>
      <c r="O612" s="1">
        <f t="shared" si="4"/>
        <v>37.35330439</v>
      </c>
      <c r="P612" s="4">
        <f t="shared" si="5"/>
        <v>-0.03686313003</v>
      </c>
    </row>
    <row r="613" ht="15.75" customHeight="1">
      <c r="A613" s="3">
        <v>42249.0</v>
      </c>
      <c r="B613" s="1">
        <v>2015.0</v>
      </c>
      <c r="C613" s="1">
        <v>9.0</v>
      </c>
      <c r="D613" s="1" t="s">
        <v>25</v>
      </c>
      <c r="E613" s="1">
        <v>345776.25028037594</v>
      </c>
      <c r="F613" s="1">
        <v>373816.1684006343</v>
      </c>
      <c r="G613" s="1">
        <v>10102.0</v>
      </c>
      <c r="H613" s="1">
        <v>34.23</v>
      </c>
      <c r="I613" s="1">
        <v>37.0</v>
      </c>
      <c r="J613" s="1">
        <v>-2.78</v>
      </c>
      <c r="K613" s="1">
        <v>-8.11</v>
      </c>
      <c r="L613" s="1">
        <f t="shared" si="1"/>
        <v>-28039.91812</v>
      </c>
      <c r="M613" s="1" t="str">
        <f t="shared" si="2"/>
        <v>ON SALE</v>
      </c>
      <c r="N613" s="1">
        <f t="shared" si="3"/>
        <v>34.22849439</v>
      </c>
      <c r="O613" s="1">
        <f t="shared" si="4"/>
        <v>37.35454211</v>
      </c>
      <c r="P613" s="4">
        <f t="shared" si="5"/>
        <v>-0.03658787758</v>
      </c>
    </row>
    <row r="614" ht="15.75" customHeight="1">
      <c r="A614" s="3">
        <v>42250.0</v>
      </c>
      <c r="B614" s="1">
        <v>2015.0</v>
      </c>
      <c r="C614" s="1">
        <v>9.0</v>
      </c>
      <c r="D614" s="1" t="s">
        <v>25</v>
      </c>
      <c r="E614" s="1">
        <v>271551.0951007561</v>
      </c>
      <c r="F614" s="1">
        <v>293343.8739735622</v>
      </c>
      <c r="G614" s="1">
        <v>7938.0</v>
      </c>
      <c r="H614" s="1">
        <v>34.21</v>
      </c>
      <c r="I614" s="1">
        <v>36.95</v>
      </c>
      <c r="J614" s="1">
        <v>-2.75</v>
      </c>
      <c r="K614" s="1">
        <v>-8.03</v>
      </c>
      <c r="L614" s="1">
        <f t="shared" si="1"/>
        <v>-21792.77887</v>
      </c>
      <c r="M614" s="1" t="str">
        <f t="shared" si="2"/>
        <v>ON SALE</v>
      </c>
      <c r="N614" s="1">
        <f t="shared" si="3"/>
        <v>34.20900669</v>
      </c>
      <c r="O614" s="1">
        <f t="shared" si="4"/>
        <v>37.35638895</v>
      </c>
      <c r="P614" s="4">
        <f t="shared" si="5"/>
        <v>-0.03636511158</v>
      </c>
    </row>
    <row r="615" ht="15.75" customHeight="1">
      <c r="A615" s="3">
        <v>42251.0</v>
      </c>
      <c r="B615" s="1">
        <v>2015.0</v>
      </c>
      <c r="C615" s="1">
        <v>9.0</v>
      </c>
      <c r="D615" s="1" t="s">
        <v>25</v>
      </c>
      <c r="E615" s="1">
        <v>340440.20546208567</v>
      </c>
      <c r="F615" s="1">
        <v>366359.65859248454</v>
      </c>
      <c r="G615" s="1">
        <v>9936.0</v>
      </c>
      <c r="H615" s="1">
        <v>34.26</v>
      </c>
      <c r="I615" s="1">
        <v>36.87</v>
      </c>
      <c r="J615" s="1">
        <v>-2.61</v>
      </c>
      <c r="K615" s="1">
        <v>-7.61</v>
      </c>
      <c r="L615" s="1">
        <f t="shared" si="1"/>
        <v>-25919.45313</v>
      </c>
      <c r="M615" s="1" t="str">
        <f t="shared" si="2"/>
        <v>ON SALE</v>
      </c>
      <c r="N615" s="1">
        <f t="shared" si="3"/>
        <v>34.2633057</v>
      </c>
      <c r="O615" s="1">
        <f t="shared" si="4"/>
        <v>37.358061</v>
      </c>
      <c r="P615" s="4">
        <f t="shared" si="5"/>
        <v>-0.03619190938</v>
      </c>
    </row>
    <row r="616" ht="15.75" customHeight="1">
      <c r="A616" s="3">
        <v>42252.0</v>
      </c>
      <c r="B616" s="1">
        <v>2015.0</v>
      </c>
      <c r="C616" s="1">
        <v>9.0</v>
      </c>
      <c r="D616" s="1" t="s">
        <v>25</v>
      </c>
      <c r="E616" s="1">
        <v>364416.7315821381</v>
      </c>
      <c r="F616" s="1">
        <v>392128.30126516864</v>
      </c>
      <c r="G616" s="1">
        <v>10643.0</v>
      </c>
      <c r="H616" s="1">
        <v>34.24</v>
      </c>
      <c r="I616" s="1">
        <v>36.84</v>
      </c>
      <c r="J616" s="1">
        <v>-2.6</v>
      </c>
      <c r="K616" s="1">
        <v>-7.6</v>
      </c>
      <c r="L616" s="1">
        <f t="shared" si="1"/>
        <v>-27711.56968</v>
      </c>
      <c r="M616" s="1" t="str">
        <f t="shared" si="2"/>
        <v>ON SALE</v>
      </c>
      <c r="N616" s="1">
        <f t="shared" si="3"/>
        <v>34.24003867</v>
      </c>
      <c r="O616" s="1">
        <f t="shared" si="4"/>
        <v>37.36060501</v>
      </c>
      <c r="P616" s="4">
        <f t="shared" si="5"/>
        <v>-0.03599330201</v>
      </c>
    </row>
    <row r="617" ht="15.75" customHeight="1">
      <c r="A617" s="3">
        <v>42253.0</v>
      </c>
      <c r="B617" s="1">
        <v>2015.0</v>
      </c>
      <c r="C617" s="1">
        <v>9.0</v>
      </c>
      <c r="D617" s="1" t="s">
        <v>25</v>
      </c>
      <c r="E617" s="1">
        <v>164719.60449161517</v>
      </c>
      <c r="F617" s="1">
        <v>176647.84265184918</v>
      </c>
      <c r="G617" s="1">
        <v>4800.0</v>
      </c>
      <c r="H617" s="1">
        <v>34.32</v>
      </c>
      <c r="I617" s="1">
        <v>36.8</v>
      </c>
      <c r="J617" s="1">
        <v>-2.49</v>
      </c>
      <c r="K617" s="1">
        <v>-7.24</v>
      </c>
      <c r="L617" s="1">
        <f t="shared" si="1"/>
        <v>-11928.23816</v>
      </c>
      <c r="M617" s="1" t="str">
        <f t="shared" si="2"/>
        <v>ON SALE</v>
      </c>
      <c r="N617" s="1">
        <f t="shared" si="3"/>
        <v>34.31658427</v>
      </c>
      <c r="O617" s="1">
        <f t="shared" si="4"/>
        <v>37.36351855</v>
      </c>
      <c r="P617" s="4">
        <f t="shared" si="5"/>
        <v>-0.03577899635</v>
      </c>
    </row>
    <row r="618" ht="15.75" customHeight="1">
      <c r="A618" s="3">
        <v>42254.0</v>
      </c>
      <c r="B618" s="1">
        <v>2015.0</v>
      </c>
      <c r="C618" s="1">
        <v>9.0</v>
      </c>
      <c r="D618" s="1" t="s">
        <v>25</v>
      </c>
      <c r="E618" s="1">
        <v>178921.09934873637</v>
      </c>
      <c r="F618" s="1">
        <v>192507.5287324894</v>
      </c>
      <c r="G618" s="1">
        <v>5228.0</v>
      </c>
      <c r="H618" s="1">
        <v>34.22</v>
      </c>
      <c r="I618" s="1">
        <v>36.82</v>
      </c>
      <c r="J618" s="1">
        <v>-2.6</v>
      </c>
      <c r="K618" s="1">
        <v>-7.59</v>
      </c>
      <c r="L618" s="1">
        <f t="shared" si="1"/>
        <v>-13586.42938</v>
      </c>
      <c r="M618" s="1" t="str">
        <f t="shared" si="2"/>
        <v>ON SALE</v>
      </c>
      <c r="N618" s="1">
        <f t="shared" si="3"/>
        <v>34.22362268</v>
      </c>
      <c r="O618" s="1">
        <f t="shared" si="4"/>
        <v>37.36495075</v>
      </c>
      <c r="P618" s="4">
        <f t="shared" si="5"/>
        <v>-0.03569017052</v>
      </c>
    </row>
    <row r="619" ht="15.75" customHeight="1">
      <c r="A619" s="3">
        <v>42255.0</v>
      </c>
      <c r="B619" s="1">
        <v>2015.0</v>
      </c>
      <c r="C619" s="1">
        <v>9.0</v>
      </c>
      <c r="D619" s="1" t="s">
        <v>25</v>
      </c>
      <c r="E619" s="1">
        <v>70286.9978107705</v>
      </c>
      <c r="F619" s="1">
        <v>66639.6980528115</v>
      </c>
      <c r="G619" s="1">
        <v>1810.0</v>
      </c>
      <c r="H619" s="1">
        <v>38.83</v>
      </c>
      <c r="I619" s="1">
        <v>36.82</v>
      </c>
      <c r="J619" s="1">
        <v>2.02</v>
      </c>
      <c r="K619" s="1">
        <v>5.19</v>
      </c>
      <c r="L619" s="1">
        <f t="shared" si="1"/>
        <v>3647.299758</v>
      </c>
      <c r="M619" s="1" t="str">
        <f t="shared" si="2"/>
        <v>Regular</v>
      </c>
      <c r="N619" s="1">
        <f t="shared" si="3"/>
        <v>38.83259548</v>
      </c>
      <c r="O619" s="1">
        <f t="shared" si="4"/>
        <v>37.36646116</v>
      </c>
      <c r="P619" s="4">
        <f t="shared" si="5"/>
        <v>-0.03558390283</v>
      </c>
    </row>
    <row r="620" ht="15.75" customHeight="1">
      <c r="A620" s="3">
        <v>42256.0</v>
      </c>
      <c r="B620" s="1">
        <v>2015.0</v>
      </c>
      <c r="C620" s="1">
        <v>9.0</v>
      </c>
      <c r="D620" s="1" t="s">
        <v>25</v>
      </c>
      <c r="E620" s="1">
        <v>76013.67790171049</v>
      </c>
      <c r="F620" s="1">
        <v>72211.10317465069</v>
      </c>
      <c r="G620" s="1">
        <v>1961.0</v>
      </c>
      <c r="H620" s="1">
        <v>38.76</v>
      </c>
      <c r="I620" s="1">
        <v>36.82</v>
      </c>
      <c r="J620" s="1">
        <v>1.94</v>
      </c>
      <c r="K620" s="1">
        <v>5.0</v>
      </c>
      <c r="L620" s="1">
        <f t="shared" si="1"/>
        <v>3802.574727</v>
      </c>
      <c r="M620" s="1" t="str">
        <f t="shared" si="2"/>
        <v>Regular</v>
      </c>
      <c r="N620" s="1">
        <f t="shared" si="3"/>
        <v>38.76271183</v>
      </c>
      <c r="O620" s="1">
        <f t="shared" si="4"/>
        <v>37.36699077</v>
      </c>
      <c r="P620" s="4">
        <f t="shared" si="5"/>
        <v>-0.03567473466</v>
      </c>
    </row>
    <row r="621" ht="15.75" customHeight="1">
      <c r="A621" s="3">
        <v>42257.0</v>
      </c>
      <c r="B621" s="1">
        <v>2015.0</v>
      </c>
      <c r="C621" s="1">
        <v>9.0</v>
      </c>
      <c r="D621" s="1" t="s">
        <v>25</v>
      </c>
      <c r="E621" s="1">
        <v>48406.787146740244</v>
      </c>
      <c r="F621" s="1">
        <v>45316.54273361083</v>
      </c>
      <c r="G621" s="1">
        <v>1232.0</v>
      </c>
      <c r="H621" s="1">
        <v>39.29</v>
      </c>
      <c r="I621" s="1">
        <v>36.78</v>
      </c>
      <c r="J621" s="1">
        <v>2.51</v>
      </c>
      <c r="K621" s="1">
        <v>6.38</v>
      </c>
      <c r="L621" s="1">
        <f t="shared" si="1"/>
        <v>3090.244413</v>
      </c>
      <c r="M621" s="1" t="str">
        <f t="shared" si="2"/>
        <v>Regular</v>
      </c>
      <c r="N621" s="1">
        <f t="shared" si="3"/>
        <v>39.29122333</v>
      </c>
      <c r="O621" s="1">
        <f t="shared" si="4"/>
        <v>37.36755933</v>
      </c>
      <c r="P621" s="4">
        <f t="shared" si="5"/>
        <v>-0.03577108106</v>
      </c>
    </row>
    <row r="622" ht="15.75" customHeight="1">
      <c r="A622" s="3">
        <v>42258.0</v>
      </c>
      <c r="B622" s="1">
        <v>2015.0</v>
      </c>
      <c r="C622" s="1">
        <v>9.0</v>
      </c>
      <c r="D622" s="1" t="s">
        <v>25</v>
      </c>
      <c r="E622" s="1">
        <v>85940.02694079</v>
      </c>
      <c r="F622" s="1">
        <v>81559.84562327196</v>
      </c>
      <c r="G622" s="1">
        <v>2194.0</v>
      </c>
      <c r="H622" s="1">
        <v>39.17</v>
      </c>
      <c r="I622" s="1">
        <v>37.17</v>
      </c>
      <c r="J622" s="1">
        <v>2.0</v>
      </c>
      <c r="K622" s="1">
        <v>5.1</v>
      </c>
      <c r="L622" s="1">
        <f t="shared" si="1"/>
        <v>4380.181318</v>
      </c>
      <c r="M622" s="1" t="str">
        <f t="shared" si="2"/>
        <v>Regular</v>
      </c>
      <c r="N622" s="1">
        <f t="shared" si="3"/>
        <v>39.17047718</v>
      </c>
      <c r="O622" s="1">
        <f t="shared" si="4"/>
        <v>37.36794391</v>
      </c>
      <c r="P622" s="4">
        <f t="shared" si="5"/>
        <v>-0.03584244616</v>
      </c>
    </row>
    <row r="623" ht="15.75" customHeight="1">
      <c r="A623" s="3">
        <v>42259.0</v>
      </c>
      <c r="B623" s="1">
        <v>2015.0</v>
      </c>
      <c r="C623" s="1">
        <v>9.0</v>
      </c>
      <c r="D623" s="1" t="s">
        <v>25</v>
      </c>
      <c r="E623" s="1">
        <v>57381.75145418537</v>
      </c>
      <c r="F623" s="1">
        <v>54340.891509322864</v>
      </c>
      <c r="G623" s="1">
        <v>1469.0</v>
      </c>
      <c r="H623" s="1">
        <v>39.06</v>
      </c>
      <c r="I623" s="1">
        <v>36.99</v>
      </c>
      <c r="J623" s="1">
        <v>2.07</v>
      </c>
      <c r="K623" s="1">
        <v>5.3</v>
      </c>
      <c r="L623" s="1">
        <f t="shared" si="1"/>
        <v>3040.859945</v>
      </c>
      <c r="M623" s="1" t="str">
        <f t="shared" si="2"/>
        <v>Regular</v>
      </c>
      <c r="N623" s="1">
        <f t="shared" si="3"/>
        <v>39.06177771</v>
      </c>
      <c r="O623" s="1">
        <f t="shared" si="4"/>
        <v>37.36817132</v>
      </c>
      <c r="P623" s="4">
        <f t="shared" si="5"/>
        <v>-0.03595300554</v>
      </c>
    </row>
    <row r="624" ht="15.75" customHeight="1">
      <c r="A624" s="3">
        <v>42260.0</v>
      </c>
      <c r="B624" s="1">
        <v>2015.0</v>
      </c>
      <c r="C624" s="1">
        <v>9.0</v>
      </c>
      <c r="D624" s="1" t="s">
        <v>25</v>
      </c>
      <c r="E624" s="1">
        <v>32479.796394255125</v>
      </c>
      <c r="F624" s="1">
        <v>30763.688117313315</v>
      </c>
      <c r="G624" s="1">
        <v>829.0</v>
      </c>
      <c r="H624" s="1">
        <v>39.18</v>
      </c>
      <c r="I624" s="1">
        <v>37.11</v>
      </c>
      <c r="J624" s="1">
        <v>2.07</v>
      </c>
      <c r="K624" s="1">
        <v>5.28</v>
      </c>
      <c r="L624" s="1">
        <f t="shared" si="1"/>
        <v>1716.108277</v>
      </c>
      <c r="M624" s="1" t="str">
        <f t="shared" si="2"/>
        <v>Regular</v>
      </c>
      <c r="N624" s="1">
        <f t="shared" si="3"/>
        <v>39.17948902</v>
      </c>
      <c r="O624" s="1">
        <f t="shared" si="4"/>
        <v>37.36846713</v>
      </c>
      <c r="P624" s="4">
        <f t="shared" si="5"/>
        <v>-0.03602870642</v>
      </c>
    </row>
    <row r="625" ht="15.75" customHeight="1">
      <c r="A625" s="3">
        <v>42261.0</v>
      </c>
      <c r="B625" s="1">
        <v>2015.0</v>
      </c>
      <c r="C625" s="1">
        <v>9.0</v>
      </c>
      <c r="D625" s="1" t="s">
        <v>25</v>
      </c>
      <c r="E625" s="1">
        <v>52160.18393341537</v>
      </c>
      <c r="F625" s="1">
        <v>49656.007748568794</v>
      </c>
      <c r="G625" s="1">
        <v>1329.0</v>
      </c>
      <c r="H625" s="1">
        <v>39.25</v>
      </c>
      <c r="I625" s="1">
        <v>37.36</v>
      </c>
      <c r="J625" s="1">
        <v>1.88</v>
      </c>
      <c r="K625" s="1">
        <v>4.8</v>
      </c>
      <c r="L625" s="1">
        <f t="shared" si="1"/>
        <v>2504.176185</v>
      </c>
      <c r="M625" s="1" t="str">
        <f t="shared" si="2"/>
        <v>Regular</v>
      </c>
      <c r="N625" s="1">
        <f t="shared" si="3"/>
        <v>39.24769295</v>
      </c>
      <c r="O625" s="1">
        <f t="shared" si="4"/>
        <v>37.36858208</v>
      </c>
      <c r="P625" s="4">
        <f t="shared" si="5"/>
        <v>-0.0360715367</v>
      </c>
    </row>
    <row r="626" ht="15.75" customHeight="1">
      <c r="A626" s="3">
        <v>42262.0</v>
      </c>
      <c r="B626" s="1">
        <v>2015.0</v>
      </c>
      <c r="C626" s="1">
        <v>9.0</v>
      </c>
      <c r="D626" s="1" t="s">
        <v>25</v>
      </c>
      <c r="E626" s="1">
        <v>51002.83956949524</v>
      </c>
      <c r="F626" s="1">
        <v>48601.967504707296</v>
      </c>
      <c r="G626" s="1">
        <v>1300.0</v>
      </c>
      <c r="H626" s="1">
        <v>39.23</v>
      </c>
      <c r="I626" s="1">
        <v>37.39</v>
      </c>
      <c r="J626" s="1">
        <v>1.85</v>
      </c>
      <c r="K626" s="1">
        <v>4.71</v>
      </c>
      <c r="L626" s="1">
        <f t="shared" si="1"/>
        <v>2400.872065</v>
      </c>
      <c r="M626" s="1" t="str">
        <f t="shared" si="2"/>
        <v>Regular</v>
      </c>
      <c r="N626" s="1">
        <f t="shared" si="3"/>
        <v>39.23295351</v>
      </c>
      <c r="O626" s="1">
        <f t="shared" si="4"/>
        <v>37.36858574</v>
      </c>
      <c r="P626" s="4">
        <f t="shared" si="5"/>
        <v>-0.03613666655</v>
      </c>
    </row>
    <row r="627" ht="15.75" customHeight="1">
      <c r="A627" s="3">
        <v>42263.0</v>
      </c>
      <c r="B627" s="1">
        <v>2015.0</v>
      </c>
      <c r="C627" s="1">
        <v>9.0</v>
      </c>
      <c r="D627" s="1" t="s">
        <v>25</v>
      </c>
      <c r="E627" s="1">
        <v>30194.71595621512</v>
      </c>
      <c r="F627" s="1">
        <v>28605.460797613814</v>
      </c>
      <c r="G627" s="1">
        <v>773.0</v>
      </c>
      <c r="H627" s="1">
        <v>39.06</v>
      </c>
      <c r="I627" s="1">
        <v>37.01</v>
      </c>
      <c r="J627" s="1">
        <v>2.06</v>
      </c>
      <c r="K627" s="1">
        <v>5.26</v>
      </c>
      <c r="L627" s="1">
        <f t="shared" si="1"/>
        <v>1589.255159</v>
      </c>
      <c r="M627" s="1" t="str">
        <f t="shared" si="2"/>
        <v>Regular</v>
      </c>
      <c r="N627" s="1">
        <f t="shared" si="3"/>
        <v>39.06172827</v>
      </c>
      <c r="O627" s="1">
        <f t="shared" si="4"/>
        <v>37.36857352</v>
      </c>
      <c r="P627" s="4">
        <f t="shared" si="5"/>
        <v>-0.03619973941</v>
      </c>
    </row>
    <row r="628" ht="15.75" customHeight="1">
      <c r="A628" s="3">
        <v>42264.0</v>
      </c>
      <c r="B628" s="1">
        <v>2015.0</v>
      </c>
      <c r="C628" s="1">
        <v>9.0</v>
      </c>
      <c r="D628" s="1" t="s">
        <v>25</v>
      </c>
      <c r="E628" s="1">
        <v>29751.222605555122</v>
      </c>
      <c r="F628" s="1">
        <v>28084.23512836408</v>
      </c>
      <c r="G628" s="1">
        <v>760.0</v>
      </c>
      <c r="H628" s="1">
        <v>39.15</v>
      </c>
      <c r="I628" s="1">
        <v>36.95</v>
      </c>
      <c r="J628" s="1">
        <v>2.19</v>
      </c>
      <c r="K628" s="1">
        <v>5.6</v>
      </c>
      <c r="L628" s="1">
        <f t="shared" si="1"/>
        <v>1666.987477</v>
      </c>
      <c r="M628" s="1" t="str">
        <f t="shared" si="2"/>
        <v>Regular</v>
      </c>
      <c r="N628" s="1">
        <f t="shared" si="3"/>
        <v>39.14634553</v>
      </c>
      <c r="O628" s="1">
        <f t="shared" si="4"/>
        <v>37.36872389</v>
      </c>
      <c r="P628" s="4">
        <f t="shared" si="5"/>
        <v>-0.03623962118</v>
      </c>
    </row>
    <row r="629" ht="15.75" customHeight="1">
      <c r="A629" s="3">
        <v>42265.0</v>
      </c>
      <c r="B629" s="1">
        <v>2015.0</v>
      </c>
      <c r="C629" s="1">
        <v>9.0</v>
      </c>
      <c r="D629" s="1" t="s">
        <v>25</v>
      </c>
      <c r="E629" s="1">
        <v>68504.63943753537</v>
      </c>
      <c r="F629" s="1">
        <v>64881.97564825693</v>
      </c>
      <c r="G629" s="1">
        <v>1755.0</v>
      </c>
      <c r="H629" s="1">
        <v>39.03</v>
      </c>
      <c r="I629" s="1">
        <v>36.97</v>
      </c>
      <c r="J629" s="1">
        <v>2.06</v>
      </c>
      <c r="K629" s="1">
        <v>5.29</v>
      </c>
      <c r="L629" s="1">
        <f t="shared" si="1"/>
        <v>3622.663789</v>
      </c>
      <c r="M629" s="1" t="str">
        <f t="shared" si="2"/>
        <v>Regular</v>
      </c>
      <c r="N629" s="1">
        <f t="shared" si="3"/>
        <v>39.03398259</v>
      </c>
      <c r="O629" s="1">
        <f t="shared" si="4"/>
        <v>37.36889339</v>
      </c>
      <c r="P629" s="4">
        <f t="shared" si="5"/>
        <v>-0.03628045572</v>
      </c>
    </row>
    <row r="630" ht="15.75" customHeight="1">
      <c r="A630" s="3">
        <v>42266.0</v>
      </c>
      <c r="B630" s="1">
        <v>2015.0</v>
      </c>
      <c r="C630" s="1">
        <v>9.0</v>
      </c>
      <c r="D630" s="1" t="s">
        <v>25</v>
      </c>
      <c r="E630" s="1">
        <v>68996.56175729049</v>
      </c>
      <c r="F630" s="1">
        <v>65211.57177094122</v>
      </c>
      <c r="G630" s="1">
        <v>1766.0</v>
      </c>
      <c r="H630" s="1">
        <v>39.07</v>
      </c>
      <c r="I630" s="1">
        <v>36.93</v>
      </c>
      <c r="J630" s="1">
        <v>2.14</v>
      </c>
      <c r="K630" s="1">
        <v>5.49</v>
      </c>
      <c r="L630" s="1">
        <f t="shared" si="1"/>
        <v>3784.989986</v>
      </c>
      <c r="M630" s="1" t="str">
        <f t="shared" si="2"/>
        <v>Regular</v>
      </c>
      <c r="N630" s="1">
        <f t="shared" si="3"/>
        <v>39.06940077</v>
      </c>
      <c r="O630" s="1">
        <f t="shared" si="4"/>
        <v>37.36926946</v>
      </c>
      <c r="P630" s="4">
        <f t="shared" si="5"/>
        <v>-0.03637140615</v>
      </c>
    </row>
    <row r="631" ht="15.75" customHeight="1">
      <c r="A631" s="3">
        <v>42267.0</v>
      </c>
      <c r="B631" s="1">
        <v>2015.0</v>
      </c>
      <c r="C631" s="1">
        <v>9.0</v>
      </c>
      <c r="D631" s="1" t="s">
        <v>25</v>
      </c>
      <c r="E631" s="1">
        <v>41855.928759400245</v>
      </c>
      <c r="F631" s="1">
        <v>39629.45187227755</v>
      </c>
      <c r="G631" s="1">
        <v>1078.0</v>
      </c>
      <c r="H631" s="1">
        <v>38.83</v>
      </c>
      <c r="I631" s="1">
        <v>36.76</v>
      </c>
      <c r="J631" s="1">
        <v>2.07</v>
      </c>
      <c r="K631" s="1">
        <v>5.32</v>
      </c>
      <c r="L631" s="1">
        <f t="shared" si="1"/>
        <v>2226.476887</v>
      </c>
      <c r="M631" s="1" t="str">
        <f t="shared" si="2"/>
        <v>Regular</v>
      </c>
      <c r="N631" s="1">
        <f t="shared" si="3"/>
        <v>38.82739217</v>
      </c>
      <c r="O631" s="1">
        <f t="shared" si="4"/>
        <v>37.36969003</v>
      </c>
      <c r="P631" s="4">
        <f t="shared" si="5"/>
        <v>-0.03646522925</v>
      </c>
    </row>
    <row r="632" ht="15.75" customHeight="1">
      <c r="A632" s="3">
        <v>42268.0</v>
      </c>
      <c r="B632" s="1">
        <v>2015.0</v>
      </c>
      <c r="C632" s="1">
        <v>9.0</v>
      </c>
      <c r="D632" s="1" t="s">
        <v>25</v>
      </c>
      <c r="E632" s="1">
        <v>44303.466485900244</v>
      </c>
      <c r="F632" s="1">
        <v>41485.458718801405</v>
      </c>
      <c r="G632" s="1">
        <v>1124.0</v>
      </c>
      <c r="H632" s="1">
        <v>39.42</v>
      </c>
      <c r="I632" s="1">
        <v>36.91</v>
      </c>
      <c r="J632" s="1">
        <v>2.51</v>
      </c>
      <c r="K632" s="1">
        <v>6.36</v>
      </c>
      <c r="L632" s="1">
        <f t="shared" si="1"/>
        <v>2818.007767</v>
      </c>
      <c r="M632" s="1" t="str">
        <f t="shared" si="2"/>
        <v>Regular</v>
      </c>
      <c r="N632" s="1">
        <f t="shared" si="3"/>
        <v>39.41589545</v>
      </c>
      <c r="O632" s="1">
        <f t="shared" si="4"/>
        <v>37.37004228</v>
      </c>
      <c r="P632" s="4">
        <f t="shared" si="5"/>
        <v>-0.0365212013</v>
      </c>
    </row>
    <row r="633" ht="15.75" customHeight="1">
      <c r="A633" s="3">
        <v>42269.0</v>
      </c>
      <c r="B633" s="1">
        <v>2015.0</v>
      </c>
      <c r="C633" s="1">
        <v>9.0</v>
      </c>
      <c r="D633" s="1" t="s">
        <v>25</v>
      </c>
      <c r="E633" s="1">
        <v>46599.298130810246</v>
      </c>
      <c r="F633" s="1">
        <v>43806.73201043591</v>
      </c>
      <c r="G633" s="1">
        <v>1182.0</v>
      </c>
      <c r="H633" s="1">
        <v>39.42</v>
      </c>
      <c r="I633" s="1">
        <v>37.06</v>
      </c>
      <c r="J633" s="1">
        <v>2.36</v>
      </c>
      <c r="K633" s="1">
        <v>5.99</v>
      </c>
      <c r="L633" s="1">
        <f t="shared" si="1"/>
        <v>2792.56612</v>
      </c>
      <c r="M633" s="1" t="str">
        <f t="shared" si="2"/>
        <v>Regular</v>
      </c>
      <c r="N633" s="1">
        <f t="shared" si="3"/>
        <v>39.42411009</v>
      </c>
      <c r="O633" s="1">
        <f t="shared" si="4"/>
        <v>37.37032125</v>
      </c>
      <c r="P633" s="4">
        <f t="shared" si="5"/>
        <v>-0.03658740786</v>
      </c>
    </row>
    <row r="634" ht="15.75" customHeight="1">
      <c r="A634" s="3">
        <v>42270.0</v>
      </c>
      <c r="B634" s="1">
        <v>2015.0</v>
      </c>
      <c r="C634" s="1">
        <v>9.0</v>
      </c>
      <c r="D634" s="1" t="s">
        <v>25</v>
      </c>
      <c r="E634" s="1">
        <v>125182.75716534758</v>
      </c>
      <c r="F634" s="1">
        <v>138583.8378162164</v>
      </c>
      <c r="G634" s="1">
        <v>3725.0</v>
      </c>
      <c r="H634" s="1">
        <v>33.61</v>
      </c>
      <c r="I634" s="1">
        <v>37.2</v>
      </c>
      <c r="J634" s="1">
        <v>-3.6</v>
      </c>
      <c r="K634" s="1">
        <v>-10.71</v>
      </c>
      <c r="L634" s="1">
        <f t="shared" si="1"/>
        <v>-13401.08065</v>
      </c>
      <c r="M634" s="1" t="str">
        <f t="shared" si="2"/>
        <v>ON SALE</v>
      </c>
      <c r="N634" s="1">
        <f t="shared" si="3"/>
        <v>33.60610931</v>
      </c>
      <c r="O634" s="1">
        <f t="shared" si="4"/>
        <v>37.37051775</v>
      </c>
      <c r="P634" s="4">
        <f t="shared" si="5"/>
        <v>-0.03665457887</v>
      </c>
    </row>
    <row r="635" ht="15.75" customHeight="1">
      <c r="A635" s="3">
        <v>42271.0</v>
      </c>
      <c r="B635" s="1">
        <v>2015.0</v>
      </c>
      <c r="C635" s="1">
        <v>9.0</v>
      </c>
      <c r="D635" s="1" t="s">
        <v>25</v>
      </c>
      <c r="E635" s="1">
        <v>150036.8050416176</v>
      </c>
      <c r="F635" s="1">
        <v>167704.85540677374</v>
      </c>
      <c r="G635" s="1">
        <v>4492.0</v>
      </c>
      <c r="H635" s="1">
        <v>33.4</v>
      </c>
      <c r="I635" s="1">
        <v>37.33</v>
      </c>
      <c r="J635" s="1">
        <v>-3.93</v>
      </c>
      <c r="K635" s="1">
        <v>-11.78</v>
      </c>
      <c r="L635" s="1">
        <f t="shared" si="1"/>
        <v>-17668.05037</v>
      </c>
      <c r="M635" s="1" t="str">
        <f t="shared" si="2"/>
        <v>ON SALE</v>
      </c>
      <c r="N635" s="1">
        <f t="shared" si="3"/>
        <v>33.40089159</v>
      </c>
      <c r="O635" s="1">
        <f t="shared" si="4"/>
        <v>37.37085296</v>
      </c>
      <c r="P635" s="4">
        <f t="shared" si="5"/>
        <v>-0.03652271551</v>
      </c>
    </row>
    <row r="636" ht="15.75" customHeight="1">
      <c r="A636" s="3">
        <v>42272.0</v>
      </c>
      <c r="B636" s="1">
        <v>2015.0</v>
      </c>
      <c r="C636" s="1">
        <v>9.0</v>
      </c>
      <c r="D636" s="1" t="s">
        <v>25</v>
      </c>
      <c r="E636" s="1">
        <v>368037.6919446588</v>
      </c>
      <c r="F636" s="1">
        <v>413540.807164328</v>
      </c>
      <c r="G636" s="1">
        <v>11030.0</v>
      </c>
      <c r="H636" s="1">
        <v>33.37</v>
      </c>
      <c r="I636" s="1">
        <v>37.49</v>
      </c>
      <c r="J636" s="1">
        <v>-4.13</v>
      </c>
      <c r="K636" s="1">
        <v>-12.36</v>
      </c>
      <c r="L636" s="1">
        <f t="shared" si="1"/>
        <v>-45503.11522</v>
      </c>
      <c r="M636" s="1" t="str">
        <f t="shared" si="2"/>
        <v>ON SALE</v>
      </c>
      <c r="N636" s="1">
        <f t="shared" si="3"/>
        <v>33.36697116</v>
      </c>
      <c r="O636" s="1">
        <f t="shared" si="4"/>
        <v>37.3709422</v>
      </c>
      <c r="P636" s="4">
        <f t="shared" si="5"/>
        <v>-0.03633993022</v>
      </c>
    </row>
    <row r="637" ht="15.75" customHeight="1">
      <c r="A637" s="3">
        <v>42273.0</v>
      </c>
      <c r="B637" s="1">
        <v>2015.0</v>
      </c>
      <c r="C637" s="1">
        <v>9.0</v>
      </c>
      <c r="D637" s="1" t="s">
        <v>25</v>
      </c>
      <c r="E637" s="1">
        <v>351319.63806908</v>
      </c>
      <c r="F637" s="1">
        <v>397626.5850584556</v>
      </c>
      <c r="G637" s="1">
        <v>10528.0</v>
      </c>
      <c r="H637" s="1">
        <v>33.37</v>
      </c>
      <c r="I637" s="1">
        <v>37.77</v>
      </c>
      <c r="J637" s="1">
        <v>-4.4</v>
      </c>
      <c r="K637" s="1">
        <v>-13.18</v>
      </c>
      <c r="L637" s="1">
        <f t="shared" si="1"/>
        <v>-46306.94699</v>
      </c>
      <c r="M637" s="1" t="str">
        <f t="shared" si="2"/>
        <v>ON SALE</v>
      </c>
      <c r="N637" s="1">
        <f t="shared" si="3"/>
        <v>33.37002641</v>
      </c>
      <c r="O637" s="1">
        <f t="shared" si="4"/>
        <v>37.37021356</v>
      </c>
      <c r="P637" s="4">
        <f t="shared" si="5"/>
        <v>-0.03585542961</v>
      </c>
    </row>
    <row r="638" ht="15.75" customHeight="1">
      <c r="A638" s="3">
        <v>42274.0</v>
      </c>
      <c r="B638" s="1">
        <v>2015.0</v>
      </c>
      <c r="C638" s="1">
        <v>9.0</v>
      </c>
      <c r="D638" s="1" t="s">
        <v>25</v>
      </c>
      <c r="E638" s="1">
        <v>163289.93666880394</v>
      </c>
      <c r="F638" s="1">
        <v>185404.04401051014</v>
      </c>
      <c r="G638" s="1">
        <v>4895.0</v>
      </c>
      <c r="H638" s="1">
        <v>33.36</v>
      </c>
      <c r="I638" s="1">
        <v>37.88</v>
      </c>
      <c r="J638" s="1">
        <v>-4.52</v>
      </c>
      <c r="K638" s="1">
        <v>-13.54</v>
      </c>
      <c r="L638" s="1">
        <f t="shared" si="1"/>
        <v>-22114.10734</v>
      </c>
      <c r="M638" s="1" t="str">
        <f t="shared" si="2"/>
        <v>ON SALE</v>
      </c>
      <c r="N638" s="1">
        <f t="shared" si="3"/>
        <v>33.35851617</v>
      </c>
      <c r="O638" s="1">
        <f t="shared" si="4"/>
        <v>37.36791928</v>
      </c>
      <c r="P638" s="4">
        <f t="shared" si="5"/>
        <v>-0.03534437122</v>
      </c>
    </row>
    <row r="639" ht="15.75" customHeight="1">
      <c r="A639" s="3">
        <v>42275.0</v>
      </c>
      <c r="B639" s="1">
        <v>2015.0</v>
      </c>
      <c r="C639" s="1">
        <v>9.0</v>
      </c>
      <c r="D639" s="1" t="s">
        <v>25</v>
      </c>
      <c r="E639" s="1">
        <v>190892.45898757636</v>
      </c>
      <c r="F639" s="1">
        <v>216571.05952146213</v>
      </c>
      <c r="G639" s="1">
        <v>5720.0</v>
      </c>
      <c r="H639" s="1">
        <v>33.37</v>
      </c>
      <c r="I639" s="1">
        <v>37.86</v>
      </c>
      <c r="J639" s="1">
        <v>-4.49</v>
      </c>
      <c r="K639" s="1">
        <v>-13.45</v>
      </c>
      <c r="L639" s="1">
        <f t="shared" si="1"/>
        <v>-25678.60053</v>
      </c>
      <c r="M639" s="1" t="str">
        <f t="shared" si="2"/>
        <v>ON SALE</v>
      </c>
      <c r="N639" s="1">
        <f t="shared" si="3"/>
        <v>33.37280752</v>
      </c>
      <c r="O639" s="1">
        <f t="shared" si="4"/>
        <v>37.36655422</v>
      </c>
      <c r="P639" s="4">
        <f t="shared" si="5"/>
        <v>-0.03509599514</v>
      </c>
    </row>
    <row r="640" ht="15.75" customHeight="1">
      <c r="A640" s="3">
        <v>42276.0</v>
      </c>
      <c r="B640" s="1">
        <v>2015.0</v>
      </c>
      <c r="C640" s="1">
        <v>9.0</v>
      </c>
      <c r="D640" s="1" t="s">
        <v>25</v>
      </c>
      <c r="E640" s="1">
        <v>143082.1332657676</v>
      </c>
      <c r="F640" s="1">
        <v>162929.0184723528</v>
      </c>
      <c r="G640" s="1">
        <v>4288.0</v>
      </c>
      <c r="H640" s="1">
        <v>33.37</v>
      </c>
      <c r="I640" s="1">
        <v>38.0</v>
      </c>
      <c r="J640" s="1">
        <v>-4.63</v>
      </c>
      <c r="K640" s="1">
        <v>-13.87</v>
      </c>
      <c r="L640" s="1">
        <f t="shared" si="1"/>
        <v>-19846.88521</v>
      </c>
      <c r="M640" s="1" t="str">
        <f t="shared" si="2"/>
        <v>ON SALE</v>
      </c>
      <c r="N640" s="1">
        <f t="shared" si="3"/>
        <v>33.36803481</v>
      </c>
      <c r="O640" s="1">
        <f t="shared" si="4"/>
        <v>37.36499428</v>
      </c>
      <c r="P640" s="4">
        <f t="shared" si="5"/>
        <v>-0.03480671323</v>
      </c>
    </row>
    <row r="641" ht="15.75" customHeight="1">
      <c r="A641" s="3">
        <v>42277.0</v>
      </c>
      <c r="B641" s="1">
        <v>2015.0</v>
      </c>
      <c r="C641" s="1">
        <v>9.0</v>
      </c>
      <c r="D641" s="1" t="s">
        <v>25</v>
      </c>
      <c r="E641" s="1">
        <v>323548.78534206876</v>
      </c>
      <c r="F641" s="1">
        <v>368434.8859088649</v>
      </c>
      <c r="G641" s="1">
        <v>9693.0</v>
      </c>
      <c r="H641" s="1">
        <v>33.38</v>
      </c>
      <c r="I641" s="1">
        <v>38.01</v>
      </c>
      <c r="J641" s="1">
        <v>-4.63</v>
      </c>
      <c r="K641" s="1">
        <v>-13.87</v>
      </c>
      <c r="L641" s="1">
        <f t="shared" si="1"/>
        <v>-44886.10057</v>
      </c>
      <c r="M641" s="1" t="str">
        <f t="shared" si="2"/>
        <v>ON SALE</v>
      </c>
      <c r="N641" s="1">
        <f t="shared" si="3"/>
        <v>33.37963328</v>
      </c>
      <c r="O641" s="1">
        <f t="shared" si="4"/>
        <v>37.3635004</v>
      </c>
      <c r="P641" s="4">
        <f t="shared" si="5"/>
        <v>-0.03457961758</v>
      </c>
    </row>
    <row r="642" ht="15.75" customHeight="1">
      <c r="A642" s="3">
        <v>42278.0</v>
      </c>
      <c r="B642" s="1">
        <v>2015.0</v>
      </c>
      <c r="C642" s="1">
        <v>10.0</v>
      </c>
      <c r="D642" s="1" t="s">
        <v>26</v>
      </c>
      <c r="E642" s="1">
        <v>402312.33315894654</v>
      </c>
      <c r="F642" s="1">
        <v>459285.80452600674</v>
      </c>
      <c r="G642" s="1">
        <v>12065.0</v>
      </c>
      <c r="H642" s="1">
        <v>33.35</v>
      </c>
      <c r="I642" s="1">
        <v>38.07</v>
      </c>
      <c r="J642" s="1">
        <v>-4.72</v>
      </c>
      <c r="K642" s="1">
        <v>-14.16</v>
      </c>
      <c r="L642" s="1">
        <f t="shared" si="1"/>
        <v>-56973.47137</v>
      </c>
      <c r="M642" s="1" t="str">
        <f t="shared" si="2"/>
        <v>ON SALE</v>
      </c>
      <c r="N642" s="1">
        <f t="shared" si="3"/>
        <v>33.34540681</v>
      </c>
      <c r="O642" s="1">
        <f t="shared" si="4"/>
        <v>37.36002258</v>
      </c>
      <c r="P642" s="4">
        <f t="shared" si="5"/>
        <v>-0.03406230872</v>
      </c>
    </row>
    <row r="643" ht="15.75" customHeight="1">
      <c r="A643" s="3">
        <v>42279.0</v>
      </c>
      <c r="B643" s="1">
        <v>2015.0</v>
      </c>
      <c r="C643" s="1">
        <v>10.0</v>
      </c>
      <c r="D643" s="1" t="s">
        <v>26</v>
      </c>
      <c r="E643" s="1">
        <v>393635.174854894</v>
      </c>
      <c r="F643" s="1">
        <v>448390.96576197416</v>
      </c>
      <c r="G643" s="1">
        <v>11758.0</v>
      </c>
      <c r="H643" s="1">
        <v>33.48</v>
      </c>
      <c r="I643" s="1">
        <v>38.13</v>
      </c>
      <c r="J643" s="1">
        <v>-4.66</v>
      </c>
      <c r="K643" s="1">
        <v>-13.91</v>
      </c>
      <c r="L643" s="1">
        <f t="shared" si="1"/>
        <v>-54755.79091</v>
      </c>
      <c r="M643" s="1" t="str">
        <f t="shared" si="2"/>
        <v>ON SALE</v>
      </c>
      <c r="N643" s="1">
        <f t="shared" si="3"/>
        <v>33.47807236</v>
      </c>
      <c r="O643" s="1">
        <f t="shared" si="4"/>
        <v>37.35525568</v>
      </c>
      <c r="P643" s="4">
        <f t="shared" si="5"/>
        <v>-0.03339393056</v>
      </c>
    </row>
    <row r="644" ht="15.75" customHeight="1">
      <c r="A644" s="3">
        <v>42280.0</v>
      </c>
      <c r="B644" s="1">
        <v>2015.0</v>
      </c>
      <c r="C644" s="1">
        <v>10.0</v>
      </c>
      <c r="D644" s="1" t="s">
        <v>26</v>
      </c>
      <c r="E644" s="1">
        <v>451100.060076857</v>
      </c>
      <c r="F644" s="1">
        <v>515549.389916234</v>
      </c>
      <c r="G644" s="1">
        <v>13508.0</v>
      </c>
      <c r="H644" s="1">
        <v>33.4</v>
      </c>
      <c r="I644" s="1">
        <v>38.17</v>
      </c>
      <c r="J644" s="1">
        <v>-4.77</v>
      </c>
      <c r="K644" s="1">
        <v>-14.29</v>
      </c>
      <c r="L644" s="1">
        <f t="shared" si="1"/>
        <v>-64449.32984</v>
      </c>
      <c r="M644" s="1" t="str">
        <f t="shared" si="2"/>
        <v>ON SALE</v>
      </c>
      <c r="N644" s="1">
        <f t="shared" si="3"/>
        <v>33.39502962</v>
      </c>
      <c r="O644" s="1">
        <f t="shared" si="4"/>
        <v>37.35010277</v>
      </c>
      <c r="P644" s="4">
        <f t="shared" si="5"/>
        <v>-0.03274724678</v>
      </c>
    </row>
    <row r="645" ht="15.75" customHeight="1">
      <c r="A645" s="3">
        <v>42281.0</v>
      </c>
      <c r="B645" s="1">
        <v>2015.0</v>
      </c>
      <c r="C645" s="1">
        <v>10.0</v>
      </c>
      <c r="D645" s="1" t="s">
        <v>26</v>
      </c>
      <c r="E645" s="1">
        <v>202902.62490132518</v>
      </c>
      <c r="F645" s="1">
        <v>232360.32715548942</v>
      </c>
      <c r="G645" s="1">
        <v>6085.0</v>
      </c>
      <c r="H645" s="1">
        <v>33.34</v>
      </c>
      <c r="I645" s="1">
        <v>38.19</v>
      </c>
      <c r="J645" s="1">
        <v>-4.84</v>
      </c>
      <c r="K645" s="1">
        <v>-14.52</v>
      </c>
      <c r="L645" s="1">
        <f t="shared" si="1"/>
        <v>-29457.70225</v>
      </c>
      <c r="M645" s="1" t="str">
        <f t="shared" si="2"/>
        <v>ON SALE</v>
      </c>
      <c r="N645" s="1">
        <f t="shared" si="3"/>
        <v>33.34472061</v>
      </c>
      <c r="O645" s="1">
        <f t="shared" si="4"/>
        <v>37.34385909</v>
      </c>
      <c r="P645" s="4">
        <f t="shared" si="5"/>
        <v>-0.03196975209</v>
      </c>
    </row>
    <row r="646" ht="15.75" customHeight="1">
      <c r="A646" s="3">
        <v>42282.0</v>
      </c>
      <c r="B646" s="1">
        <v>2015.0</v>
      </c>
      <c r="C646" s="1">
        <v>10.0</v>
      </c>
      <c r="D646" s="1" t="s">
        <v>26</v>
      </c>
      <c r="E646" s="1">
        <v>294557.6463662238</v>
      </c>
      <c r="F646" s="1">
        <v>336897.9224004055</v>
      </c>
      <c r="G646" s="1">
        <v>8828.0</v>
      </c>
      <c r="H646" s="1">
        <v>33.37</v>
      </c>
      <c r="I646" s="1">
        <v>38.16</v>
      </c>
      <c r="J646" s="1">
        <v>-4.8</v>
      </c>
      <c r="K646" s="1">
        <v>-14.37</v>
      </c>
      <c r="L646" s="1">
        <f t="shared" si="1"/>
        <v>-42340.27603</v>
      </c>
      <c r="M646" s="1" t="str">
        <f t="shared" si="2"/>
        <v>ON SALE</v>
      </c>
      <c r="N646" s="1">
        <f t="shared" si="3"/>
        <v>33.36629433</v>
      </c>
      <c r="O646" s="1">
        <f t="shared" si="4"/>
        <v>37.34094761</v>
      </c>
      <c r="P646" s="4">
        <f t="shared" si="5"/>
        <v>-0.03160908868</v>
      </c>
    </row>
    <row r="647" ht="15.75" customHeight="1">
      <c r="A647" s="3">
        <v>42283.0</v>
      </c>
      <c r="B647" s="1">
        <v>2015.0</v>
      </c>
      <c r="C647" s="1">
        <v>10.0</v>
      </c>
      <c r="D647" s="1" t="s">
        <v>26</v>
      </c>
      <c r="E647" s="1">
        <v>221618.32824753015</v>
      </c>
      <c r="F647" s="1">
        <v>253291.06228608298</v>
      </c>
      <c r="G647" s="1">
        <v>6636.0</v>
      </c>
      <c r="H647" s="1">
        <v>33.4</v>
      </c>
      <c r="I647" s="1">
        <v>38.17</v>
      </c>
      <c r="J647" s="1">
        <v>-4.77</v>
      </c>
      <c r="K647" s="1">
        <v>-14.29</v>
      </c>
      <c r="L647" s="1">
        <f t="shared" si="1"/>
        <v>-31672.73404</v>
      </c>
      <c r="M647" s="1" t="str">
        <f t="shared" si="2"/>
        <v>ON SALE</v>
      </c>
      <c r="N647" s="1">
        <f t="shared" si="3"/>
        <v>33.39637255</v>
      </c>
      <c r="O647" s="1">
        <f t="shared" si="4"/>
        <v>37.33680535</v>
      </c>
      <c r="P647" s="4">
        <f t="shared" si="5"/>
        <v>-0.03108808687</v>
      </c>
    </row>
    <row r="648" ht="15.75" customHeight="1">
      <c r="A648" s="3">
        <v>42284.0</v>
      </c>
      <c r="B648" s="1">
        <v>2015.0</v>
      </c>
      <c r="C648" s="1">
        <v>10.0</v>
      </c>
      <c r="D648" s="1" t="s">
        <v>26</v>
      </c>
      <c r="E648" s="1">
        <v>63968.38248018537</v>
      </c>
      <c r="F648" s="1">
        <v>61942.84267774664</v>
      </c>
      <c r="G648" s="1">
        <v>1622.0</v>
      </c>
      <c r="H648" s="1">
        <v>39.44</v>
      </c>
      <c r="I648" s="1">
        <v>38.19</v>
      </c>
      <c r="J648" s="1">
        <v>1.25</v>
      </c>
      <c r="K648" s="1">
        <v>3.17</v>
      </c>
      <c r="L648" s="1">
        <f t="shared" si="1"/>
        <v>2025.539802</v>
      </c>
      <c r="M648" s="1" t="str">
        <f t="shared" si="2"/>
        <v>Regular</v>
      </c>
      <c r="N648" s="1">
        <f t="shared" si="3"/>
        <v>39.437967</v>
      </c>
      <c r="O648" s="1">
        <f t="shared" si="4"/>
        <v>37.3336381</v>
      </c>
      <c r="P648" s="4">
        <f t="shared" si="5"/>
        <v>-0.03069579282</v>
      </c>
    </row>
    <row r="649" ht="15.75" customHeight="1">
      <c r="A649" s="3">
        <v>42285.0</v>
      </c>
      <c r="B649" s="1">
        <v>2015.0</v>
      </c>
      <c r="C649" s="1">
        <v>10.0</v>
      </c>
      <c r="D649" s="1" t="s">
        <v>26</v>
      </c>
      <c r="E649" s="1">
        <v>59609.54470528037</v>
      </c>
      <c r="F649" s="1">
        <v>57736.476659462984</v>
      </c>
      <c r="G649" s="1">
        <v>1512.0</v>
      </c>
      <c r="H649" s="1">
        <v>39.42</v>
      </c>
      <c r="I649" s="1">
        <v>38.19</v>
      </c>
      <c r="J649" s="1">
        <v>1.24</v>
      </c>
      <c r="K649" s="1">
        <v>3.14</v>
      </c>
      <c r="L649" s="1">
        <f t="shared" si="1"/>
        <v>1873.068046</v>
      </c>
      <c r="M649" s="1" t="str">
        <f t="shared" si="2"/>
        <v>Regular</v>
      </c>
      <c r="N649" s="1">
        <f t="shared" si="3"/>
        <v>39.42430205</v>
      </c>
      <c r="O649" s="1">
        <f t="shared" si="4"/>
        <v>37.33284172</v>
      </c>
      <c r="P649" s="4">
        <f t="shared" si="5"/>
        <v>-0.03075900081</v>
      </c>
    </row>
    <row r="650" ht="15.75" customHeight="1">
      <c r="A650" s="3">
        <v>42286.0</v>
      </c>
      <c r="B650" s="1">
        <v>2015.0</v>
      </c>
      <c r="C650" s="1">
        <v>10.0</v>
      </c>
      <c r="D650" s="1" t="s">
        <v>26</v>
      </c>
      <c r="E650" s="1">
        <v>126588.25297451638</v>
      </c>
      <c r="F650" s="1">
        <v>122622.36311479038</v>
      </c>
      <c r="G650" s="1">
        <v>3211.0</v>
      </c>
      <c r="H650" s="1">
        <v>39.42</v>
      </c>
      <c r="I650" s="1">
        <v>38.19</v>
      </c>
      <c r="J650" s="1">
        <v>1.24</v>
      </c>
      <c r="K650" s="1">
        <v>3.13</v>
      </c>
      <c r="L650" s="1">
        <f t="shared" si="1"/>
        <v>3965.88986</v>
      </c>
      <c r="M650" s="1" t="str">
        <f t="shared" si="2"/>
        <v>Regular</v>
      </c>
      <c r="N650" s="1">
        <f t="shared" si="3"/>
        <v>39.42331142</v>
      </c>
      <c r="O650" s="1">
        <f t="shared" si="4"/>
        <v>37.33210121</v>
      </c>
      <c r="P650" s="4">
        <f t="shared" si="5"/>
        <v>-0.03081778803</v>
      </c>
    </row>
    <row r="651" ht="15.75" customHeight="1">
      <c r="A651" s="3">
        <v>42287.0</v>
      </c>
      <c r="B651" s="1">
        <v>2015.0</v>
      </c>
      <c r="C651" s="1">
        <v>10.0</v>
      </c>
      <c r="D651" s="1" t="s">
        <v>26</v>
      </c>
      <c r="E651" s="1">
        <v>119755.01159048088</v>
      </c>
      <c r="F651" s="1">
        <v>116003.68691362541</v>
      </c>
      <c r="G651" s="1">
        <v>3037.0</v>
      </c>
      <c r="H651" s="1">
        <v>39.43</v>
      </c>
      <c r="I651" s="1">
        <v>38.2</v>
      </c>
      <c r="J651" s="1">
        <v>1.24</v>
      </c>
      <c r="K651" s="1">
        <v>3.13</v>
      </c>
      <c r="L651" s="1">
        <f t="shared" si="1"/>
        <v>3751.324677</v>
      </c>
      <c r="M651" s="1" t="str">
        <f t="shared" si="2"/>
        <v>Regular</v>
      </c>
      <c r="N651" s="1">
        <f t="shared" si="3"/>
        <v>39.43200908</v>
      </c>
      <c r="O651" s="1">
        <f t="shared" si="4"/>
        <v>37.33051929</v>
      </c>
      <c r="P651" s="4">
        <f t="shared" si="5"/>
        <v>-0.03094281183</v>
      </c>
    </row>
    <row r="652" ht="15.75" customHeight="1">
      <c r="A652" s="3">
        <v>42288.0</v>
      </c>
      <c r="B652" s="1">
        <v>2015.0</v>
      </c>
      <c r="C652" s="1">
        <v>10.0</v>
      </c>
      <c r="D652" s="1" t="s">
        <v>26</v>
      </c>
      <c r="E652" s="1">
        <v>57413.410482090374</v>
      </c>
      <c r="F652" s="1">
        <v>55617.58464392972</v>
      </c>
      <c r="G652" s="1">
        <v>1456.0</v>
      </c>
      <c r="H652" s="1">
        <v>39.43</v>
      </c>
      <c r="I652" s="1">
        <v>38.2</v>
      </c>
      <c r="J652" s="1">
        <v>1.23</v>
      </c>
      <c r="K652" s="1">
        <v>3.13</v>
      </c>
      <c r="L652" s="1">
        <f t="shared" si="1"/>
        <v>1795.825838</v>
      </c>
      <c r="M652" s="1" t="str">
        <f t="shared" si="2"/>
        <v>Regular</v>
      </c>
      <c r="N652" s="1">
        <f t="shared" si="3"/>
        <v>39.43228742</v>
      </c>
      <c r="O652" s="1">
        <f t="shared" si="4"/>
        <v>37.32900268</v>
      </c>
      <c r="P652" s="4">
        <f t="shared" si="5"/>
        <v>-0.03106154302</v>
      </c>
    </row>
    <row r="653" ht="15.75" customHeight="1">
      <c r="A653" s="3">
        <v>42289.0</v>
      </c>
      <c r="B653" s="1">
        <v>2015.0</v>
      </c>
      <c r="C653" s="1">
        <v>10.0</v>
      </c>
      <c r="D653" s="1" t="s">
        <v>26</v>
      </c>
      <c r="E653" s="1">
        <v>57749.13693860537</v>
      </c>
      <c r="F653" s="1">
        <v>55933.00857584616</v>
      </c>
      <c r="G653" s="1">
        <v>1465.0</v>
      </c>
      <c r="H653" s="1">
        <v>39.42</v>
      </c>
      <c r="I653" s="1">
        <v>38.18</v>
      </c>
      <c r="J653" s="1">
        <v>1.24</v>
      </c>
      <c r="K653" s="1">
        <v>3.14</v>
      </c>
      <c r="L653" s="1">
        <f t="shared" si="1"/>
        <v>1816.128363</v>
      </c>
      <c r="M653" s="1" t="str">
        <f t="shared" si="2"/>
        <v>Regular</v>
      </c>
      <c r="N653" s="1">
        <f t="shared" si="3"/>
        <v>39.4192061</v>
      </c>
      <c r="O653" s="1">
        <f t="shared" si="4"/>
        <v>37.32827195</v>
      </c>
      <c r="P653" s="4">
        <f t="shared" si="5"/>
        <v>-0.03111858409</v>
      </c>
    </row>
    <row r="654" ht="15.75" customHeight="1">
      <c r="A654" s="3">
        <v>42290.0</v>
      </c>
      <c r="B654" s="1">
        <v>2015.0</v>
      </c>
      <c r="C654" s="1">
        <v>10.0</v>
      </c>
      <c r="D654" s="1" t="s">
        <v>26</v>
      </c>
      <c r="E654" s="1">
        <v>40140.82003455524</v>
      </c>
      <c r="F654" s="1">
        <v>38881.08844178642</v>
      </c>
      <c r="G654" s="1">
        <v>1018.0</v>
      </c>
      <c r="H654" s="1">
        <v>39.43</v>
      </c>
      <c r="I654" s="1">
        <v>38.19</v>
      </c>
      <c r="J654" s="1">
        <v>1.24</v>
      </c>
      <c r="K654" s="1">
        <v>3.14</v>
      </c>
      <c r="L654" s="1">
        <f t="shared" si="1"/>
        <v>1259.731593</v>
      </c>
      <c r="M654" s="1" t="str">
        <f t="shared" si="2"/>
        <v>Regular</v>
      </c>
      <c r="N654" s="1">
        <f t="shared" si="3"/>
        <v>39.43106094</v>
      </c>
      <c r="O654" s="1">
        <f t="shared" si="4"/>
        <v>37.32755184</v>
      </c>
      <c r="P654" s="4">
        <f t="shared" si="5"/>
        <v>-0.03117622046</v>
      </c>
    </row>
    <row r="655" ht="15.75" customHeight="1">
      <c r="A655" s="3">
        <v>42291.0</v>
      </c>
      <c r="B655" s="1">
        <v>2015.0</v>
      </c>
      <c r="C655" s="1">
        <v>10.0</v>
      </c>
      <c r="D655" s="1" t="s">
        <v>26</v>
      </c>
      <c r="E655" s="1">
        <v>42195.81736485025</v>
      </c>
      <c r="F655" s="1">
        <v>40869.24947226706</v>
      </c>
      <c r="G655" s="1">
        <v>1070.0</v>
      </c>
      <c r="H655" s="1">
        <v>39.44</v>
      </c>
      <c r="I655" s="1">
        <v>38.2</v>
      </c>
      <c r="J655" s="1">
        <v>1.24</v>
      </c>
      <c r="K655" s="1">
        <v>3.14</v>
      </c>
      <c r="L655" s="1">
        <f t="shared" si="1"/>
        <v>1326.567893</v>
      </c>
      <c r="M655" s="1" t="str">
        <f t="shared" si="2"/>
        <v>Regular</v>
      </c>
      <c r="N655" s="1">
        <f t="shared" si="3"/>
        <v>39.43534333</v>
      </c>
      <c r="O655" s="1">
        <f t="shared" si="4"/>
        <v>37.32704245</v>
      </c>
      <c r="P655" s="4">
        <f t="shared" si="5"/>
        <v>-0.03121630335</v>
      </c>
    </row>
    <row r="656" ht="15.75" customHeight="1">
      <c r="A656" s="3">
        <v>42292.0</v>
      </c>
      <c r="B656" s="1">
        <v>2015.0</v>
      </c>
      <c r="C656" s="1">
        <v>10.0</v>
      </c>
      <c r="D656" s="1" t="s">
        <v>26</v>
      </c>
      <c r="E656" s="1">
        <v>53490.797465390366</v>
      </c>
      <c r="F656" s="1">
        <v>51799.16590340081</v>
      </c>
      <c r="G656" s="1">
        <v>1357.0</v>
      </c>
      <c r="H656" s="1">
        <v>39.42</v>
      </c>
      <c r="I656" s="1">
        <v>38.17</v>
      </c>
      <c r="J656" s="1">
        <v>1.25</v>
      </c>
      <c r="K656" s="1">
        <v>3.16</v>
      </c>
      <c r="L656" s="1">
        <f t="shared" si="1"/>
        <v>1691.631562</v>
      </c>
      <c r="M656" s="1" t="str">
        <f t="shared" si="2"/>
        <v>Regular</v>
      </c>
      <c r="N656" s="1">
        <f t="shared" si="3"/>
        <v>39.41842112</v>
      </c>
      <c r="O656" s="1">
        <f t="shared" si="4"/>
        <v>37.32650519</v>
      </c>
      <c r="P656" s="4">
        <f t="shared" si="5"/>
        <v>-0.03125853114</v>
      </c>
    </row>
    <row r="657" ht="15.75" customHeight="1">
      <c r="A657" s="3">
        <v>42293.0</v>
      </c>
      <c r="B657" s="1">
        <v>2015.0</v>
      </c>
      <c r="C657" s="1">
        <v>10.0</v>
      </c>
      <c r="D657" s="1" t="s">
        <v>26</v>
      </c>
      <c r="E657" s="1">
        <v>110809.31580557745</v>
      </c>
      <c r="F657" s="1">
        <v>107331.98051512288</v>
      </c>
      <c r="G657" s="1">
        <v>2810.0</v>
      </c>
      <c r="H657" s="1">
        <v>39.43</v>
      </c>
      <c r="I657" s="1">
        <v>38.2</v>
      </c>
      <c r="J657" s="1">
        <v>1.24</v>
      </c>
      <c r="K657" s="1">
        <v>3.14</v>
      </c>
      <c r="L657" s="1">
        <f t="shared" si="1"/>
        <v>3477.33529</v>
      </c>
      <c r="M657" s="1" t="str">
        <f t="shared" si="2"/>
        <v>Regular</v>
      </c>
      <c r="N657" s="1">
        <f t="shared" si="3"/>
        <v>39.43392022</v>
      </c>
      <c r="O657" s="1">
        <f t="shared" si="4"/>
        <v>37.3258415</v>
      </c>
      <c r="P657" s="4">
        <f t="shared" si="5"/>
        <v>-0.0313123037</v>
      </c>
    </row>
    <row r="658" ht="15.75" customHeight="1">
      <c r="A658" s="3">
        <v>42294.0</v>
      </c>
      <c r="B658" s="1">
        <v>2015.0</v>
      </c>
      <c r="C658" s="1">
        <v>10.0</v>
      </c>
      <c r="D658" s="1" t="s">
        <v>26</v>
      </c>
      <c r="E658" s="1">
        <v>111527.01346960258</v>
      </c>
      <c r="F658" s="1">
        <v>108023.60734392128</v>
      </c>
      <c r="G658" s="1">
        <v>2829.0</v>
      </c>
      <c r="H658" s="1">
        <v>39.42</v>
      </c>
      <c r="I658" s="1">
        <v>38.18</v>
      </c>
      <c r="J658" s="1">
        <v>1.24</v>
      </c>
      <c r="K658" s="1">
        <v>3.14</v>
      </c>
      <c r="L658" s="1">
        <f t="shared" si="1"/>
        <v>3503.406126</v>
      </c>
      <c r="M658" s="1" t="str">
        <f t="shared" si="2"/>
        <v>Regular</v>
      </c>
      <c r="N658" s="1">
        <f t="shared" si="3"/>
        <v>39.42276899</v>
      </c>
      <c r="O658" s="1">
        <f t="shared" si="4"/>
        <v>37.32442377</v>
      </c>
      <c r="P658" s="4">
        <f t="shared" si="5"/>
        <v>-0.03142355775</v>
      </c>
    </row>
    <row r="659" ht="15.75" customHeight="1">
      <c r="A659" s="3">
        <v>42295.0</v>
      </c>
      <c r="B659" s="1">
        <v>2015.0</v>
      </c>
      <c r="C659" s="1">
        <v>10.0</v>
      </c>
      <c r="D659" s="1" t="s">
        <v>26</v>
      </c>
      <c r="E659" s="1">
        <v>59808.13866875037</v>
      </c>
      <c r="F659" s="1">
        <v>57937.4586559695</v>
      </c>
      <c r="G659" s="1">
        <v>1517.0</v>
      </c>
      <c r="H659" s="1">
        <v>39.43</v>
      </c>
      <c r="I659" s="1">
        <v>38.19</v>
      </c>
      <c r="J659" s="1">
        <v>1.23</v>
      </c>
      <c r="K659" s="1">
        <v>3.13</v>
      </c>
      <c r="L659" s="1">
        <f t="shared" si="1"/>
        <v>1870.680013</v>
      </c>
      <c r="M659" s="1" t="str">
        <f t="shared" si="2"/>
        <v>Regular</v>
      </c>
      <c r="N659" s="1">
        <f t="shared" si="3"/>
        <v>39.42527269</v>
      </c>
      <c r="O659" s="1">
        <f t="shared" si="4"/>
        <v>37.32301157</v>
      </c>
      <c r="P659" s="4">
        <f t="shared" si="5"/>
        <v>-0.03153598872</v>
      </c>
    </row>
    <row r="660" ht="15.75" customHeight="1">
      <c r="A660" s="3">
        <v>42296.0</v>
      </c>
      <c r="B660" s="1">
        <v>2015.0</v>
      </c>
      <c r="C660" s="1">
        <v>10.0</v>
      </c>
      <c r="D660" s="1" t="s">
        <v>26</v>
      </c>
      <c r="E660" s="1">
        <v>55166.226228085376</v>
      </c>
      <c r="F660" s="1">
        <v>53436.89709278487</v>
      </c>
      <c r="G660" s="1">
        <v>1399.0</v>
      </c>
      <c r="H660" s="1">
        <v>39.43</v>
      </c>
      <c r="I660" s="1">
        <v>38.2</v>
      </c>
      <c r="J660" s="1">
        <v>1.24</v>
      </c>
      <c r="K660" s="1">
        <v>3.13</v>
      </c>
      <c r="L660" s="1">
        <f t="shared" si="1"/>
        <v>1729.329135</v>
      </c>
      <c r="M660" s="1" t="str">
        <f t="shared" si="2"/>
        <v>Regular</v>
      </c>
      <c r="N660" s="1">
        <f t="shared" si="3"/>
        <v>39.43261346</v>
      </c>
      <c r="O660" s="1">
        <f t="shared" si="4"/>
        <v>37.32224557</v>
      </c>
      <c r="P660" s="4">
        <f t="shared" si="5"/>
        <v>-0.0315963178</v>
      </c>
    </row>
    <row r="661" ht="15.75" customHeight="1">
      <c r="A661" s="3">
        <v>42297.0</v>
      </c>
      <c r="B661" s="1">
        <v>2015.0</v>
      </c>
      <c r="C661" s="1">
        <v>10.0</v>
      </c>
      <c r="D661" s="1" t="s">
        <v>26</v>
      </c>
      <c r="E661" s="1">
        <v>42054.680471955246</v>
      </c>
      <c r="F661" s="1">
        <v>40736.15047559227</v>
      </c>
      <c r="G661" s="1">
        <v>1067.0</v>
      </c>
      <c r="H661" s="1">
        <v>39.41</v>
      </c>
      <c r="I661" s="1">
        <v>38.18</v>
      </c>
      <c r="J661" s="1">
        <v>1.24</v>
      </c>
      <c r="K661" s="1">
        <v>3.14</v>
      </c>
      <c r="L661" s="1">
        <f t="shared" si="1"/>
        <v>1318.529996</v>
      </c>
      <c r="M661" s="1" t="str">
        <f t="shared" si="2"/>
        <v>Regular</v>
      </c>
      <c r="N661" s="1">
        <f t="shared" si="3"/>
        <v>39.41394608</v>
      </c>
      <c r="O661" s="1">
        <f t="shared" si="4"/>
        <v>37.3215344</v>
      </c>
      <c r="P661" s="4">
        <f t="shared" si="5"/>
        <v>-0.03165212907</v>
      </c>
    </row>
    <row r="662" ht="15.75" customHeight="1">
      <c r="A662" s="3">
        <v>42298.0</v>
      </c>
      <c r="B662" s="1">
        <v>2015.0</v>
      </c>
      <c r="C662" s="1">
        <v>10.0</v>
      </c>
      <c r="D662" s="1" t="s">
        <v>26</v>
      </c>
      <c r="E662" s="1">
        <v>53678.179109280245</v>
      </c>
      <c r="F662" s="1">
        <v>51999.86086819557</v>
      </c>
      <c r="G662" s="1">
        <v>1361.0</v>
      </c>
      <c r="H662" s="1">
        <v>39.44</v>
      </c>
      <c r="I662" s="1">
        <v>38.21</v>
      </c>
      <c r="J662" s="1">
        <v>1.23</v>
      </c>
      <c r="K662" s="1">
        <v>3.13</v>
      </c>
      <c r="L662" s="1">
        <f t="shared" si="1"/>
        <v>1678.318241</v>
      </c>
      <c r="M662" s="1" t="str">
        <f t="shared" si="2"/>
        <v>Regular</v>
      </c>
      <c r="N662" s="1">
        <f t="shared" si="3"/>
        <v>39.44024916</v>
      </c>
      <c r="O662" s="1">
        <f t="shared" si="4"/>
        <v>37.32100257</v>
      </c>
      <c r="P662" s="4">
        <f t="shared" si="5"/>
        <v>-0.0316947455</v>
      </c>
    </row>
    <row r="663" ht="15.75" customHeight="1">
      <c r="A663" s="3">
        <v>42299.0</v>
      </c>
      <c r="B663" s="1">
        <v>2015.0</v>
      </c>
      <c r="C663" s="1">
        <v>10.0</v>
      </c>
      <c r="D663" s="1" t="s">
        <v>26</v>
      </c>
      <c r="E663" s="1">
        <v>55930.16864310537</v>
      </c>
      <c r="F663" s="1">
        <v>54177.690061877336</v>
      </c>
      <c r="G663" s="1">
        <v>1419.0</v>
      </c>
      <c r="H663" s="1">
        <v>39.42</v>
      </c>
      <c r="I663" s="1">
        <v>38.18</v>
      </c>
      <c r="J663" s="1">
        <v>1.24</v>
      </c>
      <c r="K663" s="1">
        <v>3.13</v>
      </c>
      <c r="L663" s="1">
        <f t="shared" si="1"/>
        <v>1752.478581</v>
      </c>
      <c r="M663" s="1" t="str">
        <f t="shared" si="2"/>
        <v>Regular</v>
      </c>
      <c r="N663" s="1">
        <f t="shared" si="3"/>
        <v>39.41519989</v>
      </c>
      <c r="O663" s="1">
        <f t="shared" si="4"/>
        <v>37.32030035</v>
      </c>
      <c r="P663" s="4">
        <f t="shared" si="5"/>
        <v>-0.03174914981</v>
      </c>
    </row>
    <row r="664" ht="15.75" customHeight="1">
      <c r="A664" s="3">
        <v>42300.0</v>
      </c>
      <c r="B664" s="1">
        <v>2015.0</v>
      </c>
      <c r="C664" s="1">
        <v>10.0</v>
      </c>
      <c r="D664" s="1" t="s">
        <v>26</v>
      </c>
      <c r="E664" s="1">
        <v>185771.00146306364</v>
      </c>
      <c r="F664" s="1">
        <v>192527.0110099228</v>
      </c>
      <c r="G664" s="1">
        <v>5042.0</v>
      </c>
      <c r="H664" s="1">
        <v>36.84</v>
      </c>
      <c r="I664" s="1">
        <v>38.18</v>
      </c>
      <c r="J664" s="1">
        <v>-1.34</v>
      </c>
      <c r="K664" s="1">
        <v>-3.64</v>
      </c>
      <c r="L664" s="1">
        <f t="shared" si="1"/>
        <v>-6756.009547</v>
      </c>
      <c r="M664" s="1" t="str">
        <f t="shared" si="2"/>
        <v>ON SALE</v>
      </c>
      <c r="N664" s="1">
        <f t="shared" si="3"/>
        <v>36.84470477</v>
      </c>
      <c r="O664" s="1">
        <f t="shared" si="4"/>
        <v>37.31958927</v>
      </c>
      <c r="P664" s="4">
        <f t="shared" si="5"/>
        <v>-0.03180599709</v>
      </c>
    </row>
    <row r="665" ht="15.75" customHeight="1">
      <c r="A665" s="3">
        <v>42301.0</v>
      </c>
      <c r="B665" s="1">
        <v>2015.0</v>
      </c>
      <c r="C665" s="1">
        <v>10.0</v>
      </c>
      <c r="D665" s="1" t="s">
        <v>26</v>
      </c>
      <c r="E665" s="1">
        <v>253116.91319854016</v>
      </c>
      <c r="F665" s="1">
        <v>262409.5694229162</v>
      </c>
      <c r="G665" s="1">
        <v>6872.0</v>
      </c>
      <c r="H665" s="1">
        <v>36.83</v>
      </c>
      <c r="I665" s="1">
        <v>38.19</v>
      </c>
      <c r="J665" s="1">
        <v>-1.35</v>
      </c>
      <c r="K665" s="1">
        <v>-3.67</v>
      </c>
      <c r="L665" s="1">
        <f t="shared" si="1"/>
        <v>-9292.656224</v>
      </c>
      <c r="M665" s="1" t="str">
        <f t="shared" si="2"/>
        <v>ON SALE</v>
      </c>
      <c r="N665" s="1">
        <f t="shared" si="3"/>
        <v>36.83307817</v>
      </c>
      <c r="O665" s="1">
        <f t="shared" si="4"/>
        <v>37.31703996</v>
      </c>
      <c r="P665" s="4">
        <f t="shared" si="5"/>
        <v>-0.03179230299</v>
      </c>
    </row>
    <row r="666" ht="15.75" customHeight="1">
      <c r="A666" s="3">
        <v>42302.0</v>
      </c>
      <c r="B666" s="1">
        <v>2015.0</v>
      </c>
      <c r="C666" s="1">
        <v>10.0</v>
      </c>
      <c r="D666" s="1" t="s">
        <v>26</v>
      </c>
      <c r="E666" s="1">
        <v>118618.45370215292</v>
      </c>
      <c r="F666" s="1">
        <v>122915.26701698842</v>
      </c>
      <c r="G666" s="1">
        <v>3218.0</v>
      </c>
      <c r="H666" s="1">
        <v>36.86</v>
      </c>
      <c r="I666" s="1">
        <v>38.2</v>
      </c>
      <c r="J666" s="1">
        <v>-1.34</v>
      </c>
      <c r="K666" s="1">
        <v>-3.62</v>
      </c>
      <c r="L666" s="1">
        <f t="shared" si="1"/>
        <v>-4296.813315</v>
      </c>
      <c r="M666" s="1" t="str">
        <f t="shared" si="2"/>
        <v>ON SALE</v>
      </c>
      <c r="N666" s="1">
        <f t="shared" si="3"/>
        <v>36.86092408</v>
      </c>
      <c r="O666" s="1">
        <f t="shared" si="4"/>
        <v>37.31353837</v>
      </c>
      <c r="P666" s="4">
        <f t="shared" si="5"/>
        <v>-0.03177209254</v>
      </c>
    </row>
    <row r="667" ht="15.75" customHeight="1">
      <c r="A667" s="3">
        <v>42303.0</v>
      </c>
      <c r="B667" s="1">
        <v>2015.0</v>
      </c>
      <c r="C667" s="1">
        <v>10.0</v>
      </c>
      <c r="D667" s="1" t="s">
        <v>26</v>
      </c>
      <c r="E667" s="1">
        <v>123320.78404237365</v>
      </c>
      <c r="F667" s="1">
        <v>128133.77860887129</v>
      </c>
      <c r="G667" s="1">
        <v>3347.0</v>
      </c>
      <c r="H667" s="1">
        <v>36.85</v>
      </c>
      <c r="I667" s="1">
        <v>38.28</v>
      </c>
      <c r="J667" s="1">
        <v>-1.44</v>
      </c>
      <c r="K667" s="1">
        <v>-3.9</v>
      </c>
      <c r="L667" s="1">
        <f t="shared" si="1"/>
        <v>-4812.994566</v>
      </c>
      <c r="M667" s="1" t="str">
        <f t="shared" si="2"/>
        <v>ON SALE</v>
      </c>
      <c r="N667" s="1">
        <f t="shared" si="3"/>
        <v>36.84517002</v>
      </c>
      <c r="O667" s="1">
        <f t="shared" si="4"/>
        <v>37.31186841</v>
      </c>
      <c r="P667" s="4">
        <f t="shared" si="5"/>
        <v>-0.03176350727</v>
      </c>
    </row>
    <row r="668" ht="15.75" customHeight="1">
      <c r="A668" s="3">
        <v>42304.0</v>
      </c>
      <c r="B668" s="1">
        <v>2015.0</v>
      </c>
      <c r="C668" s="1">
        <v>10.0</v>
      </c>
      <c r="D668" s="1" t="s">
        <v>26</v>
      </c>
      <c r="E668" s="1">
        <v>117051.27721540268</v>
      </c>
      <c r="F668" s="1">
        <v>122175.00027270183</v>
      </c>
      <c r="G668" s="1">
        <v>3177.0</v>
      </c>
      <c r="H668" s="1">
        <v>36.84</v>
      </c>
      <c r="I668" s="1">
        <v>38.46</v>
      </c>
      <c r="J668" s="1">
        <v>-1.61</v>
      </c>
      <c r="K668" s="1">
        <v>-4.38</v>
      </c>
      <c r="L668" s="1">
        <f t="shared" si="1"/>
        <v>-5123.723057</v>
      </c>
      <c r="M668" s="1" t="str">
        <f t="shared" si="2"/>
        <v>ON SALE</v>
      </c>
      <c r="N668" s="1">
        <f t="shared" si="3"/>
        <v>36.8433356</v>
      </c>
      <c r="O668" s="1">
        <f t="shared" si="4"/>
        <v>37.30995324</v>
      </c>
      <c r="P668" s="4">
        <f t="shared" si="5"/>
        <v>-0.03174891235</v>
      </c>
    </row>
    <row r="669" ht="15.75" customHeight="1">
      <c r="A669" s="3">
        <v>42305.0</v>
      </c>
      <c r="B669" s="1">
        <v>2015.0</v>
      </c>
      <c r="C669" s="1">
        <v>10.0</v>
      </c>
      <c r="D669" s="1" t="s">
        <v>26</v>
      </c>
      <c r="E669" s="1">
        <v>159299.98906190018</v>
      </c>
      <c r="F669" s="1">
        <v>174699.07672381026</v>
      </c>
      <c r="G669" s="1">
        <v>4532.0</v>
      </c>
      <c r="H669" s="1">
        <v>35.15</v>
      </c>
      <c r="I669" s="1">
        <v>38.55</v>
      </c>
      <c r="J669" s="1">
        <v>-3.4</v>
      </c>
      <c r="K669" s="1">
        <v>-9.67</v>
      </c>
      <c r="L669" s="1">
        <f t="shared" si="1"/>
        <v>-15399.08766</v>
      </c>
      <c r="M669" s="1" t="str">
        <f t="shared" si="2"/>
        <v>ON SALE</v>
      </c>
      <c r="N669" s="1">
        <f t="shared" si="3"/>
        <v>35.15004172</v>
      </c>
      <c r="O669" s="1">
        <f t="shared" si="4"/>
        <v>37.30780411</v>
      </c>
      <c r="P669" s="4">
        <f t="shared" si="5"/>
        <v>-0.03172593955</v>
      </c>
    </row>
    <row r="670" ht="15.75" customHeight="1">
      <c r="A670" s="3">
        <v>42306.0</v>
      </c>
      <c r="B670" s="1">
        <v>2015.0</v>
      </c>
      <c r="C670" s="1">
        <v>10.0</v>
      </c>
      <c r="D670" s="1" t="s">
        <v>26</v>
      </c>
      <c r="E670" s="1">
        <v>119047.40986790293</v>
      </c>
      <c r="F670" s="1">
        <v>124349.26548929588</v>
      </c>
      <c r="G670" s="1">
        <v>3231.0</v>
      </c>
      <c r="H670" s="1">
        <v>36.85</v>
      </c>
      <c r="I670" s="1">
        <v>38.49</v>
      </c>
      <c r="J670" s="1">
        <v>-1.64</v>
      </c>
      <c r="K670" s="1">
        <v>-4.45</v>
      </c>
      <c r="L670" s="1">
        <f t="shared" si="1"/>
        <v>-5301.855621</v>
      </c>
      <c r="M670" s="1" t="str">
        <f t="shared" si="2"/>
        <v>ON SALE</v>
      </c>
      <c r="N670" s="1">
        <f t="shared" si="3"/>
        <v>36.845376</v>
      </c>
      <c r="O670" s="1">
        <f t="shared" si="4"/>
        <v>37.30447815</v>
      </c>
      <c r="P670" s="4">
        <f t="shared" si="5"/>
        <v>-0.03155664562</v>
      </c>
    </row>
    <row r="671" ht="15.75" customHeight="1">
      <c r="A671" s="3">
        <v>42307.0</v>
      </c>
      <c r="B671" s="1">
        <v>2015.0</v>
      </c>
      <c r="C671" s="1">
        <v>10.0</v>
      </c>
      <c r="D671" s="1" t="s">
        <v>26</v>
      </c>
      <c r="E671" s="1">
        <v>285081.9743284353</v>
      </c>
      <c r="F671" s="1">
        <v>297627.6907154063</v>
      </c>
      <c r="G671" s="1">
        <v>7731.0</v>
      </c>
      <c r="H671" s="1">
        <v>36.88</v>
      </c>
      <c r="I671" s="1">
        <v>38.5</v>
      </c>
      <c r="J671" s="1">
        <v>-1.62</v>
      </c>
      <c r="K671" s="1">
        <v>-4.4</v>
      </c>
      <c r="L671" s="1">
        <f t="shared" si="1"/>
        <v>-12545.71639</v>
      </c>
      <c r="M671" s="1" t="str">
        <f t="shared" si="2"/>
        <v>ON SALE</v>
      </c>
      <c r="N671" s="1">
        <f t="shared" si="3"/>
        <v>36.87517453</v>
      </c>
      <c r="O671" s="1">
        <f t="shared" si="4"/>
        <v>37.30221404</v>
      </c>
      <c r="P671" s="4">
        <f t="shared" si="5"/>
        <v>-0.03153131105</v>
      </c>
    </row>
    <row r="672" ht="15.75" customHeight="1">
      <c r="A672" s="3">
        <v>42308.0</v>
      </c>
      <c r="B672" s="1">
        <v>2015.0</v>
      </c>
      <c r="C672" s="1">
        <v>10.0</v>
      </c>
      <c r="D672" s="1" t="s">
        <v>26</v>
      </c>
      <c r="E672" s="1">
        <v>391656.2125835714</v>
      </c>
      <c r="F672" s="1">
        <v>429832.83476080553</v>
      </c>
      <c r="G672" s="1">
        <v>11148.0</v>
      </c>
      <c r="H672" s="1">
        <v>35.13</v>
      </c>
      <c r="I672" s="1">
        <v>38.56</v>
      </c>
      <c r="J672" s="1">
        <v>-3.42</v>
      </c>
      <c r="K672" s="1">
        <v>-9.75</v>
      </c>
      <c r="L672" s="1">
        <f t="shared" si="1"/>
        <v>-38176.62218</v>
      </c>
      <c r="M672" s="1" t="str">
        <f t="shared" si="2"/>
        <v>ON SALE</v>
      </c>
      <c r="N672" s="1">
        <f t="shared" si="3"/>
        <v>35.1324195</v>
      </c>
      <c r="O672" s="1">
        <f t="shared" si="4"/>
        <v>37.29670759</v>
      </c>
      <c r="P672" s="4">
        <f t="shared" si="5"/>
        <v>-0.03147271954</v>
      </c>
    </row>
    <row r="673" ht="15.75" customHeight="1">
      <c r="A673" s="3">
        <v>42309.0</v>
      </c>
      <c r="B673" s="1">
        <v>2015.0</v>
      </c>
      <c r="C673" s="1">
        <v>11.0</v>
      </c>
      <c r="D673" s="1" t="s">
        <v>27</v>
      </c>
      <c r="E673" s="1">
        <v>274814.77805485035</v>
      </c>
      <c r="F673" s="1">
        <v>287978.17491181655</v>
      </c>
      <c r="G673" s="1">
        <v>7459.0</v>
      </c>
      <c r="H673" s="1">
        <v>36.84</v>
      </c>
      <c r="I673" s="1">
        <v>38.61</v>
      </c>
      <c r="J673" s="1">
        <v>-1.76</v>
      </c>
      <c r="K673" s="1">
        <v>-4.79</v>
      </c>
      <c r="L673" s="1">
        <f t="shared" si="1"/>
        <v>-13163.39686</v>
      </c>
      <c r="M673" s="1" t="str">
        <f t="shared" si="2"/>
        <v>ON SALE</v>
      </c>
      <c r="N673" s="1">
        <f t="shared" si="3"/>
        <v>36.84338089</v>
      </c>
      <c r="O673" s="1">
        <f t="shared" si="4"/>
        <v>37.28828312</v>
      </c>
      <c r="P673" s="4">
        <f t="shared" si="5"/>
        <v>-0.03104411137</v>
      </c>
    </row>
    <row r="674" ht="15.75" customHeight="1">
      <c r="A674" s="3">
        <v>42310.0</v>
      </c>
      <c r="B674" s="1">
        <v>2015.0</v>
      </c>
      <c r="C674" s="1">
        <v>11.0</v>
      </c>
      <c r="D674" s="1" t="s">
        <v>27</v>
      </c>
      <c r="E674" s="1">
        <v>269555.02312096773</v>
      </c>
      <c r="F674" s="1">
        <v>281915.19210462895</v>
      </c>
      <c r="G674" s="1">
        <v>7316.0</v>
      </c>
      <c r="H674" s="1">
        <v>36.84</v>
      </c>
      <c r="I674" s="1">
        <v>38.53</v>
      </c>
      <c r="J674" s="1">
        <v>-1.69</v>
      </c>
      <c r="K674" s="1">
        <v>-4.59</v>
      </c>
      <c r="L674" s="1">
        <f t="shared" si="1"/>
        <v>-12360.16898</v>
      </c>
      <c r="M674" s="1" t="str">
        <f t="shared" si="2"/>
        <v>ON SALE</v>
      </c>
      <c r="N674" s="1">
        <f t="shared" si="3"/>
        <v>36.84459037</v>
      </c>
      <c r="O674" s="1">
        <f t="shared" si="4"/>
        <v>37.28235319</v>
      </c>
      <c r="P674" s="4">
        <f t="shared" si="5"/>
        <v>-0.03096695868</v>
      </c>
    </row>
    <row r="675" ht="15.75" customHeight="1">
      <c r="A675" s="3">
        <v>42311.0</v>
      </c>
      <c r="B675" s="1">
        <v>2015.0</v>
      </c>
      <c r="C675" s="1">
        <v>11.0</v>
      </c>
      <c r="D675" s="1" t="s">
        <v>27</v>
      </c>
      <c r="E675" s="1">
        <v>192001.03461514864</v>
      </c>
      <c r="F675" s="1">
        <v>201125.77547468373</v>
      </c>
      <c r="G675" s="1">
        <v>5211.0</v>
      </c>
      <c r="H675" s="1">
        <v>36.85</v>
      </c>
      <c r="I675" s="1">
        <v>38.6</v>
      </c>
      <c r="J675" s="1">
        <v>-1.75</v>
      </c>
      <c r="K675" s="1">
        <v>-4.75</v>
      </c>
      <c r="L675" s="1">
        <f t="shared" si="1"/>
        <v>-9124.74086</v>
      </c>
      <c r="M675" s="1" t="str">
        <f t="shared" si="2"/>
        <v>ON SALE</v>
      </c>
      <c r="N675" s="1">
        <f t="shared" si="3"/>
        <v>36.84533384</v>
      </c>
      <c r="O675" s="1">
        <f t="shared" si="4"/>
        <v>37.27681288</v>
      </c>
      <c r="P675" s="4">
        <f t="shared" si="5"/>
        <v>-0.03089981728</v>
      </c>
    </row>
    <row r="676" ht="15.75" customHeight="1">
      <c r="A676" s="3">
        <v>42312.0</v>
      </c>
      <c r="B676" s="1">
        <v>2015.0</v>
      </c>
      <c r="C676" s="1">
        <v>11.0</v>
      </c>
      <c r="D676" s="1" t="s">
        <v>27</v>
      </c>
      <c r="E676" s="1">
        <v>201367.78697700135</v>
      </c>
      <c r="F676" s="1">
        <v>220579.99556067705</v>
      </c>
      <c r="G676" s="1">
        <v>5731.0</v>
      </c>
      <c r="H676" s="1">
        <v>35.14</v>
      </c>
      <c r="I676" s="1">
        <v>38.49</v>
      </c>
      <c r="J676" s="1">
        <v>-3.35</v>
      </c>
      <c r="K676" s="1">
        <v>-9.54</v>
      </c>
      <c r="L676" s="1">
        <f t="shared" si="1"/>
        <v>-19212.20858</v>
      </c>
      <c r="M676" s="1" t="str">
        <f t="shared" si="2"/>
        <v>ON SALE</v>
      </c>
      <c r="N676" s="1">
        <f t="shared" si="3"/>
        <v>35.1365882</v>
      </c>
      <c r="O676" s="1">
        <f t="shared" si="4"/>
        <v>37.27263954</v>
      </c>
      <c r="P676" s="4">
        <f t="shared" si="5"/>
        <v>-0.0308462391</v>
      </c>
    </row>
    <row r="677" ht="15.75" customHeight="1">
      <c r="A677" s="3">
        <v>42313.0</v>
      </c>
      <c r="B677" s="1">
        <v>2015.0</v>
      </c>
      <c r="C677" s="1">
        <v>11.0</v>
      </c>
      <c r="D677" s="1" t="s">
        <v>27</v>
      </c>
      <c r="E677" s="1">
        <v>111874.55897295268</v>
      </c>
      <c r="F677" s="1">
        <v>116637.03434528297</v>
      </c>
      <c r="G677" s="1">
        <v>3036.0</v>
      </c>
      <c r="H677" s="1">
        <v>36.85</v>
      </c>
      <c r="I677" s="1">
        <v>38.42</v>
      </c>
      <c r="J677" s="1">
        <v>-1.57</v>
      </c>
      <c r="K677" s="1">
        <v>-4.26</v>
      </c>
      <c r="L677" s="1">
        <f t="shared" si="1"/>
        <v>-4762.475372</v>
      </c>
      <c r="M677" s="1" t="str">
        <f t="shared" si="2"/>
        <v>ON SALE</v>
      </c>
      <c r="N677" s="1">
        <f t="shared" si="3"/>
        <v>36.84932772</v>
      </c>
      <c r="O677" s="1">
        <f t="shared" si="4"/>
        <v>37.26839426</v>
      </c>
      <c r="P677" s="4">
        <f t="shared" si="5"/>
        <v>-0.03062727536</v>
      </c>
    </row>
    <row r="678" ht="15.75" customHeight="1">
      <c r="A678" s="3">
        <v>42314.0</v>
      </c>
      <c r="B678" s="1">
        <v>2015.0</v>
      </c>
      <c r="C678" s="1">
        <v>11.0</v>
      </c>
      <c r="D678" s="1" t="s">
        <v>27</v>
      </c>
      <c r="E678" s="1">
        <v>214540.3330908476</v>
      </c>
      <c r="F678" s="1">
        <v>223738.43271863073</v>
      </c>
      <c r="G678" s="1">
        <v>5822.0</v>
      </c>
      <c r="H678" s="1">
        <v>36.85</v>
      </c>
      <c r="I678" s="1">
        <v>38.43</v>
      </c>
      <c r="J678" s="1">
        <v>-1.58</v>
      </c>
      <c r="K678" s="1">
        <v>-4.29</v>
      </c>
      <c r="L678" s="1">
        <f t="shared" si="1"/>
        <v>-9198.099628</v>
      </c>
      <c r="M678" s="1" t="str">
        <f t="shared" si="2"/>
        <v>ON SALE</v>
      </c>
      <c r="N678" s="1">
        <f t="shared" si="3"/>
        <v>36.84993698</v>
      </c>
      <c r="O678" s="1">
        <f t="shared" si="4"/>
        <v>37.26626467</v>
      </c>
      <c r="P678" s="4">
        <f t="shared" si="5"/>
        <v>-0.03060473042</v>
      </c>
    </row>
    <row r="679" ht="15.75" customHeight="1">
      <c r="A679" s="3">
        <v>42315.0</v>
      </c>
      <c r="B679" s="1">
        <v>2015.0</v>
      </c>
      <c r="C679" s="1">
        <v>11.0</v>
      </c>
      <c r="D679" s="1" t="s">
        <v>27</v>
      </c>
      <c r="E679" s="1">
        <v>280264.24446527625</v>
      </c>
      <c r="F679" s="1">
        <v>306935.1603958135</v>
      </c>
      <c r="G679" s="1">
        <v>7987.0</v>
      </c>
      <c r="H679" s="1">
        <v>35.09</v>
      </c>
      <c r="I679" s="1">
        <v>38.43</v>
      </c>
      <c r="J679" s="1">
        <v>-3.34</v>
      </c>
      <c r="K679" s="1">
        <v>-9.52</v>
      </c>
      <c r="L679" s="1">
        <f t="shared" si="1"/>
        <v>-26670.91593</v>
      </c>
      <c r="M679" s="1" t="str">
        <f t="shared" si="2"/>
        <v>ON SALE</v>
      </c>
      <c r="N679" s="1">
        <f t="shared" si="3"/>
        <v>35.09005189</v>
      </c>
      <c r="O679" s="1">
        <f t="shared" si="4"/>
        <v>37.26211655</v>
      </c>
      <c r="P679" s="4">
        <f t="shared" si="5"/>
        <v>-0.03056015371</v>
      </c>
    </row>
    <row r="680" ht="15.75" customHeight="1">
      <c r="A680" s="3">
        <v>42316.0</v>
      </c>
      <c r="B680" s="1">
        <v>2015.0</v>
      </c>
      <c r="C680" s="1">
        <v>11.0</v>
      </c>
      <c r="D680" s="1" t="s">
        <v>27</v>
      </c>
      <c r="E680" s="1">
        <v>134136.72870994985</v>
      </c>
      <c r="F680" s="1">
        <v>140236.3033001348</v>
      </c>
      <c r="G680" s="1">
        <v>3640.0</v>
      </c>
      <c r="H680" s="1">
        <v>36.85</v>
      </c>
      <c r="I680" s="1">
        <v>38.53</v>
      </c>
      <c r="J680" s="1">
        <v>-1.68</v>
      </c>
      <c r="K680" s="1">
        <v>-4.55</v>
      </c>
      <c r="L680" s="1">
        <f t="shared" si="1"/>
        <v>-6099.57459</v>
      </c>
      <c r="M680" s="1" t="str">
        <f t="shared" si="2"/>
        <v>ON SALE</v>
      </c>
      <c r="N680" s="1">
        <f t="shared" si="3"/>
        <v>36.85074965</v>
      </c>
      <c r="O680" s="1">
        <f t="shared" si="4"/>
        <v>37.25637988</v>
      </c>
      <c r="P680" s="4">
        <f t="shared" si="5"/>
        <v>-0.03025205775</v>
      </c>
    </row>
    <row r="681" ht="15.75" customHeight="1">
      <c r="A681" s="3">
        <v>42317.0</v>
      </c>
      <c r="B681" s="1">
        <v>2015.0</v>
      </c>
      <c r="C681" s="1">
        <v>11.0</v>
      </c>
      <c r="D681" s="1" t="s">
        <v>27</v>
      </c>
      <c r="E681" s="1">
        <v>94243.46552793356</v>
      </c>
      <c r="F681" s="1">
        <v>89949.30417187726</v>
      </c>
      <c r="G681" s="1">
        <v>2338.0</v>
      </c>
      <c r="H681" s="1">
        <v>40.31</v>
      </c>
      <c r="I681" s="1">
        <v>38.47</v>
      </c>
      <c r="J681" s="1">
        <v>1.84</v>
      </c>
      <c r="K681" s="1">
        <v>4.56</v>
      </c>
      <c r="L681" s="1">
        <f t="shared" si="1"/>
        <v>4294.161356</v>
      </c>
      <c r="M681" s="1" t="str">
        <f t="shared" si="2"/>
        <v>Regular</v>
      </c>
      <c r="N681" s="1">
        <f t="shared" si="3"/>
        <v>40.30943778</v>
      </c>
      <c r="O681" s="1">
        <f t="shared" si="4"/>
        <v>37.25352869</v>
      </c>
      <c r="P681" s="4">
        <f t="shared" si="5"/>
        <v>-0.03021723685</v>
      </c>
    </row>
    <row r="682" ht="15.75" customHeight="1">
      <c r="A682" s="3">
        <v>42318.0</v>
      </c>
      <c r="B682" s="1">
        <v>2015.0</v>
      </c>
      <c r="C682" s="1">
        <v>11.0</v>
      </c>
      <c r="D682" s="1" t="s">
        <v>27</v>
      </c>
      <c r="E682" s="1">
        <v>131436.19785473638</v>
      </c>
      <c r="F682" s="1">
        <v>143823.38644063805</v>
      </c>
      <c r="G682" s="1">
        <v>3744.0</v>
      </c>
      <c r="H682" s="1">
        <v>35.11</v>
      </c>
      <c r="I682" s="1">
        <v>38.41</v>
      </c>
      <c r="J682" s="1">
        <v>-3.31</v>
      </c>
      <c r="K682" s="1">
        <v>-9.42</v>
      </c>
      <c r="L682" s="1">
        <f t="shared" si="1"/>
        <v>-12387.18859</v>
      </c>
      <c r="M682" s="1" t="str">
        <f t="shared" si="2"/>
        <v>ON SALE</v>
      </c>
      <c r="N682" s="1">
        <f t="shared" si="3"/>
        <v>35.10582208</v>
      </c>
      <c r="O682" s="1">
        <f t="shared" si="4"/>
        <v>37.25176814</v>
      </c>
      <c r="P682" s="4">
        <f t="shared" si="5"/>
        <v>-0.0303392399</v>
      </c>
    </row>
    <row r="683" ht="15.75" customHeight="1">
      <c r="A683" s="3">
        <v>42319.0</v>
      </c>
      <c r="B683" s="1">
        <v>2015.0</v>
      </c>
      <c r="C683" s="1">
        <v>11.0</v>
      </c>
      <c r="D683" s="1" t="s">
        <v>27</v>
      </c>
      <c r="E683" s="1">
        <v>147893.94147097637</v>
      </c>
      <c r="F683" s="1">
        <v>161665.60055441552</v>
      </c>
      <c r="G683" s="1">
        <v>4216.0</v>
      </c>
      <c r="H683" s="1">
        <v>35.08</v>
      </c>
      <c r="I683" s="1">
        <v>38.35</v>
      </c>
      <c r="J683" s="1">
        <v>-3.27</v>
      </c>
      <c r="K683" s="1">
        <v>-9.31</v>
      </c>
      <c r="L683" s="1">
        <f t="shared" si="1"/>
        <v>-13771.65908</v>
      </c>
      <c r="M683" s="1" t="str">
        <f t="shared" si="2"/>
        <v>ON SALE</v>
      </c>
      <c r="N683" s="1">
        <f t="shared" si="3"/>
        <v>35.07920813</v>
      </c>
      <c r="O683" s="1">
        <f t="shared" si="4"/>
        <v>37.24907355</v>
      </c>
      <c r="P683" s="4">
        <f t="shared" si="5"/>
        <v>-0.03019543127</v>
      </c>
    </row>
    <row r="684" ht="15.75" customHeight="1">
      <c r="A684" s="3">
        <v>42320.0</v>
      </c>
      <c r="B684" s="1">
        <v>2015.0</v>
      </c>
      <c r="C684" s="1">
        <v>11.0</v>
      </c>
      <c r="D684" s="1" t="s">
        <v>27</v>
      </c>
      <c r="E684" s="1">
        <v>140238.3905104714</v>
      </c>
      <c r="F684" s="1">
        <v>153481.4533973026</v>
      </c>
      <c r="G684" s="1">
        <v>4000.0</v>
      </c>
      <c r="H684" s="1">
        <v>35.06</v>
      </c>
      <c r="I684" s="1">
        <v>38.37</v>
      </c>
      <c r="J684" s="1">
        <v>-3.31</v>
      </c>
      <c r="K684" s="1">
        <v>-9.44</v>
      </c>
      <c r="L684" s="1">
        <f t="shared" si="1"/>
        <v>-13243.06289</v>
      </c>
      <c r="M684" s="1" t="str">
        <f t="shared" si="2"/>
        <v>ON SALE</v>
      </c>
      <c r="N684" s="1">
        <f t="shared" si="3"/>
        <v>35.05959763</v>
      </c>
      <c r="O684" s="1">
        <f t="shared" si="4"/>
        <v>37.24620387</v>
      </c>
      <c r="P684" s="4">
        <f t="shared" si="5"/>
        <v>-0.03003569924</v>
      </c>
    </row>
    <row r="685" ht="15.75" customHeight="1">
      <c r="A685" s="3">
        <v>42321.0</v>
      </c>
      <c r="B685" s="1">
        <v>2015.0</v>
      </c>
      <c r="C685" s="1">
        <v>11.0</v>
      </c>
      <c r="D685" s="1" t="s">
        <v>27</v>
      </c>
      <c r="E685" s="1">
        <v>358183.774004685</v>
      </c>
      <c r="F685" s="1">
        <v>391310.3206849369</v>
      </c>
      <c r="G685" s="1">
        <v>10204.0</v>
      </c>
      <c r="H685" s="1">
        <v>35.1</v>
      </c>
      <c r="I685" s="1">
        <v>38.35</v>
      </c>
      <c r="J685" s="1">
        <v>-3.25</v>
      </c>
      <c r="K685" s="1">
        <v>-9.25</v>
      </c>
      <c r="L685" s="1">
        <f t="shared" si="1"/>
        <v>-33126.54668</v>
      </c>
      <c r="M685" s="1" t="str">
        <f t="shared" si="2"/>
        <v>ON SALE</v>
      </c>
      <c r="N685" s="1">
        <f t="shared" si="3"/>
        <v>35.10229067</v>
      </c>
      <c r="O685" s="1">
        <f t="shared" si="4"/>
        <v>37.24340599</v>
      </c>
      <c r="P685" s="4">
        <f t="shared" si="5"/>
        <v>-0.029880314</v>
      </c>
    </row>
    <row r="686" ht="15.75" customHeight="1">
      <c r="A686" s="3">
        <v>42322.0</v>
      </c>
      <c r="B686" s="1">
        <v>2015.0</v>
      </c>
      <c r="C686" s="1">
        <v>11.0</v>
      </c>
      <c r="D686" s="1" t="s">
        <v>27</v>
      </c>
      <c r="E686" s="1">
        <v>377937.13869747263</v>
      </c>
      <c r="F686" s="1">
        <v>413010.2290451295</v>
      </c>
      <c r="G686" s="1">
        <v>10769.0</v>
      </c>
      <c r="H686" s="1">
        <v>35.09</v>
      </c>
      <c r="I686" s="1">
        <v>38.35</v>
      </c>
      <c r="J686" s="1">
        <v>-3.26</v>
      </c>
      <c r="K686" s="1">
        <v>-9.28</v>
      </c>
      <c r="L686" s="1">
        <f t="shared" si="1"/>
        <v>-35073.09035</v>
      </c>
      <c r="M686" s="1" t="str">
        <f t="shared" si="2"/>
        <v>ON SALE</v>
      </c>
      <c r="N686" s="1">
        <f t="shared" si="3"/>
        <v>35.09491491</v>
      </c>
      <c r="O686" s="1">
        <f t="shared" si="4"/>
        <v>37.23634342</v>
      </c>
      <c r="P686" s="4">
        <f t="shared" si="5"/>
        <v>-0.02949209702</v>
      </c>
    </row>
    <row r="687" ht="15.75" customHeight="1">
      <c r="A687" s="3">
        <v>42323.0</v>
      </c>
      <c r="B687" s="1">
        <v>2015.0</v>
      </c>
      <c r="C687" s="1">
        <v>11.0</v>
      </c>
      <c r="D687" s="1" t="s">
        <v>27</v>
      </c>
      <c r="E687" s="1">
        <v>168729.96240320895</v>
      </c>
      <c r="F687" s="1">
        <v>184673.48850580244</v>
      </c>
      <c r="G687" s="1">
        <v>4803.0</v>
      </c>
      <c r="H687" s="1">
        <v>35.13</v>
      </c>
      <c r="I687" s="1">
        <v>38.45</v>
      </c>
      <c r="J687" s="1">
        <v>-3.32</v>
      </c>
      <c r="K687" s="1">
        <v>-9.45</v>
      </c>
      <c r="L687" s="1">
        <f t="shared" si="1"/>
        <v>-15943.5261</v>
      </c>
      <c r="M687" s="1" t="str">
        <f t="shared" si="2"/>
        <v>ON SALE</v>
      </c>
      <c r="N687" s="1">
        <f t="shared" si="3"/>
        <v>35.13011918</v>
      </c>
      <c r="O687" s="1">
        <f t="shared" si="4"/>
        <v>37.22877051</v>
      </c>
      <c r="P687" s="4">
        <f t="shared" si="5"/>
        <v>-0.02907513041</v>
      </c>
    </row>
    <row r="688" ht="15.75" customHeight="1">
      <c r="A688" s="3">
        <v>42324.0</v>
      </c>
      <c r="B688" s="1">
        <v>2015.0</v>
      </c>
      <c r="C688" s="1">
        <v>11.0</v>
      </c>
      <c r="D688" s="1" t="s">
        <v>27</v>
      </c>
      <c r="E688" s="1">
        <v>177192.56981712018</v>
      </c>
      <c r="F688" s="1">
        <v>193615.30370472991</v>
      </c>
      <c r="G688" s="1">
        <v>5042.0</v>
      </c>
      <c r="H688" s="1">
        <v>35.14</v>
      </c>
      <c r="I688" s="1">
        <v>38.4</v>
      </c>
      <c r="J688" s="1">
        <v>-3.26</v>
      </c>
      <c r="K688" s="1">
        <v>-9.27</v>
      </c>
      <c r="L688" s="1">
        <f t="shared" si="1"/>
        <v>-16422.73389</v>
      </c>
      <c r="M688" s="1" t="str">
        <f t="shared" si="2"/>
        <v>ON SALE</v>
      </c>
      <c r="N688" s="1">
        <f t="shared" si="3"/>
        <v>35.14331016</v>
      </c>
      <c r="O688" s="1">
        <f t="shared" si="4"/>
        <v>37.22506255</v>
      </c>
      <c r="P688" s="4">
        <f t="shared" si="5"/>
        <v>-0.0288822132</v>
      </c>
    </row>
    <row r="689" ht="15.75" customHeight="1">
      <c r="A689" s="3">
        <v>42325.0</v>
      </c>
      <c r="B689" s="1">
        <v>2015.0</v>
      </c>
      <c r="C689" s="1">
        <v>11.0</v>
      </c>
      <c r="D689" s="1" t="s">
        <v>27</v>
      </c>
      <c r="E689" s="1">
        <v>152368.74909244638</v>
      </c>
      <c r="F689" s="1">
        <v>166625.3650177976</v>
      </c>
      <c r="G689" s="1">
        <v>4342.0</v>
      </c>
      <c r="H689" s="1">
        <v>35.09</v>
      </c>
      <c r="I689" s="1">
        <v>38.38</v>
      </c>
      <c r="J689" s="1">
        <v>-3.28</v>
      </c>
      <c r="K689" s="1">
        <v>-9.36</v>
      </c>
      <c r="L689" s="1">
        <f t="shared" si="1"/>
        <v>-14256.61593</v>
      </c>
      <c r="M689" s="1" t="str">
        <f t="shared" si="2"/>
        <v>ON SALE</v>
      </c>
      <c r="N689" s="1">
        <f t="shared" si="3"/>
        <v>35.09183535</v>
      </c>
      <c r="O689" s="1">
        <f t="shared" si="4"/>
        <v>37.22130287</v>
      </c>
      <c r="P689" s="4">
        <f t="shared" si="5"/>
        <v>-0.02868400957</v>
      </c>
    </row>
    <row r="690" ht="15.75" customHeight="1">
      <c r="A690" s="3">
        <v>42326.0</v>
      </c>
      <c r="B690" s="1">
        <v>2015.0</v>
      </c>
      <c r="C690" s="1">
        <v>11.0</v>
      </c>
      <c r="D690" s="1" t="s">
        <v>27</v>
      </c>
      <c r="E690" s="1">
        <v>147471.80491951638</v>
      </c>
      <c r="F690" s="1">
        <v>161402.91869953024</v>
      </c>
      <c r="G690" s="1">
        <v>4202.0</v>
      </c>
      <c r="H690" s="1">
        <v>35.1</v>
      </c>
      <c r="I690" s="1">
        <v>38.41</v>
      </c>
      <c r="J690" s="1">
        <v>-3.32</v>
      </c>
      <c r="K690" s="1">
        <v>-9.45</v>
      </c>
      <c r="L690" s="1">
        <f t="shared" si="1"/>
        <v>-13931.11378</v>
      </c>
      <c r="M690" s="1" t="str">
        <f t="shared" si="2"/>
        <v>ON SALE</v>
      </c>
      <c r="N690" s="1">
        <f t="shared" si="3"/>
        <v>35.0956223</v>
      </c>
      <c r="O690" s="1">
        <f t="shared" si="4"/>
        <v>37.21811555</v>
      </c>
      <c r="P690" s="4">
        <f t="shared" si="5"/>
        <v>-0.02851021924</v>
      </c>
    </row>
    <row r="691" ht="15.75" customHeight="1">
      <c r="A691" s="3">
        <v>42327.0</v>
      </c>
      <c r="B691" s="1">
        <v>2015.0</v>
      </c>
      <c r="C691" s="1">
        <v>11.0</v>
      </c>
      <c r="D691" s="1" t="s">
        <v>27</v>
      </c>
      <c r="E691" s="1">
        <v>145697.1519823564</v>
      </c>
      <c r="F691" s="1">
        <v>159317.609394273</v>
      </c>
      <c r="G691" s="1">
        <v>4151.0</v>
      </c>
      <c r="H691" s="1">
        <v>35.1</v>
      </c>
      <c r="I691" s="1">
        <v>38.38</v>
      </c>
      <c r="J691" s="1">
        <v>-3.28</v>
      </c>
      <c r="K691" s="1">
        <v>-9.35</v>
      </c>
      <c r="L691" s="1">
        <f t="shared" si="1"/>
        <v>-13620.45741</v>
      </c>
      <c r="M691" s="1" t="str">
        <f t="shared" si="2"/>
        <v>ON SALE</v>
      </c>
      <c r="N691" s="1">
        <f t="shared" si="3"/>
        <v>35.09928981</v>
      </c>
      <c r="O691" s="1">
        <f t="shared" si="4"/>
        <v>37.21491845</v>
      </c>
      <c r="P691" s="4">
        <f t="shared" si="5"/>
        <v>-0.02833878678</v>
      </c>
    </row>
    <row r="692" ht="15.75" customHeight="1">
      <c r="A692" s="3">
        <v>42328.0</v>
      </c>
      <c r="B692" s="1">
        <v>2015.0</v>
      </c>
      <c r="C692" s="1">
        <v>11.0</v>
      </c>
      <c r="D692" s="1" t="s">
        <v>27</v>
      </c>
      <c r="E692" s="1">
        <v>301033.98651272245</v>
      </c>
      <c r="F692" s="1">
        <v>328965.14326487976</v>
      </c>
      <c r="G692" s="1">
        <v>8567.0</v>
      </c>
      <c r="H692" s="1">
        <v>35.14</v>
      </c>
      <c r="I692" s="1">
        <v>38.4</v>
      </c>
      <c r="J692" s="1">
        <v>-3.26</v>
      </c>
      <c r="K692" s="1">
        <v>-9.28</v>
      </c>
      <c r="L692" s="1">
        <f t="shared" si="1"/>
        <v>-27931.15675</v>
      </c>
      <c r="M692" s="1" t="str">
        <f t="shared" si="2"/>
        <v>ON SALE</v>
      </c>
      <c r="N692" s="1">
        <f t="shared" si="3"/>
        <v>35.1387868</v>
      </c>
      <c r="O692" s="1">
        <f t="shared" si="4"/>
        <v>37.21182409</v>
      </c>
      <c r="P692" s="4">
        <f t="shared" si="5"/>
        <v>-0.02817106697</v>
      </c>
    </row>
    <row r="693" ht="15.75" customHeight="1">
      <c r="A693" s="3">
        <v>42329.0</v>
      </c>
      <c r="B693" s="1">
        <v>2015.0</v>
      </c>
      <c r="C693" s="1">
        <v>11.0</v>
      </c>
      <c r="D693" s="1" t="s">
        <v>27</v>
      </c>
      <c r="E693" s="1">
        <v>309518.07207128487</v>
      </c>
      <c r="F693" s="1">
        <v>338720.0236259857</v>
      </c>
      <c r="G693" s="1">
        <v>8811.0</v>
      </c>
      <c r="H693" s="1">
        <v>35.13</v>
      </c>
      <c r="I693" s="1">
        <v>38.44</v>
      </c>
      <c r="J693" s="1">
        <v>-3.31</v>
      </c>
      <c r="K693" s="1">
        <v>-9.43</v>
      </c>
      <c r="L693" s="1">
        <f t="shared" si="1"/>
        <v>-29201.95155</v>
      </c>
      <c r="M693" s="1" t="str">
        <f t="shared" si="2"/>
        <v>ON SALE</v>
      </c>
      <c r="N693" s="1">
        <f t="shared" si="3"/>
        <v>35.12859744</v>
      </c>
      <c r="O693" s="1">
        <f t="shared" si="4"/>
        <v>37.2052833</v>
      </c>
      <c r="P693" s="4">
        <f t="shared" si="5"/>
        <v>-0.02782552744</v>
      </c>
    </row>
    <row r="694" ht="15.75" customHeight="1">
      <c r="A694" s="3">
        <v>42330.0</v>
      </c>
      <c r="B694" s="1">
        <v>2015.0</v>
      </c>
      <c r="C694" s="1">
        <v>11.0</v>
      </c>
      <c r="D694" s="1" t="s">
        <v>27</v>
      </c>
      <c r="E694" s="1">
        <v>152504.63172735393</v>
      </c>
      <c r="F694" s="1">
        <v>167600.65093574603</v>
      </c>
      <c r="G694" s="1">
        <v>4345.0</v>
      </c>
      <c r="H694" s="1">
        <v>35.1</v>
      </c>
      <c r="I694" s="1">
        <v>38.57</v>
      </c>
      <c r="J694" s="1">
        <v>-3.47</v>
      </c>
      <c r="K694" s="1">
        <v>-9.9</v>
      </c>
      <c r="L694" s="1">
        <f t="shared" si="1"/>
        <v>-15096.01921</v>
      </c>
      <c r="M694" s="1" t="str">
        <f t="shared" si="2"/>
        <v>ON SALE</v>
      </c>
      <c r="N694" s="1">
        <f t="shared" si="3"/>
        <v>35.09887957</v>
      </c>
      <c r="O694" s="1">
        <f t="shared" si="4"/>
        <v>37.19823131</v>
      </c>
      <c r="P694" s="4">
        <f t="shared" si="5"/>
        <v>-0.027457736</v>
      </c>
    </row>
    <row r="695" ht="15.75" customHeight="1">
      <c r="A695" s="3">
        <v>42331.0</v>
      </c>
      <c r="B695" s="1">
        <v>2015.0</v>
      </c>
      <c r="C695" s="1">
        <v>11.0</v>
      </c>
      <c r="D695" s="1" t="s">
        <v>27</v>
      </c>
      <c r="E695" s="1">
        <v>79711.58341410049</v>
      </c>
      <c r="F695" s="1">
        <v>74375.78870786497</v>
      </c>
      <c r="G695" s="1">
        <v>1937.0</v>
      </c>
      <c r="H695" s="1">
        <v>41.15</v>
      </c>
      <c r="I695" s="1">
        <v>38.4</v>
      </c>
      <c r="J695" s="1">
        <v>2.75</v>
      </c>
      <c r="K695" s="1">
        <v>6.69</v>
      </c>
      <c r="L695" s="1">
        <f t="shared" si="1"/>
        <v>5335.794706</v>
      </c>
      <c r="M695" s="1" t="str">
        <f t="shared" si="2"/>
        <v>Regular</v>
      </c>
      <c r="N695" s="1">
        <f t="shared" si="3"/>
        <v>41.1520823</v>
      </c>
      <c r="O695" s="1">
        <f t="shared" si="4"/>
        <v>37.19435671</v>
      </c>
      <c r="P695" s="4">
        <f t="shared" si="5"/>
        <v>-0.02726234249</v>
      </c>
    </row>
    <row r="696" ht="15.75" customHeight="1">
      <c r="A696" s="3">
        <v>42332.0</v>
      </c>
      <c r="B696" s="1">
        <v>2015.0</v>
      </c>
      <c r="C696" s="1">
        <v>11.0</v>
      </c>
      <c r="D696" s="1" t="s">
        <v>27</v>
      </c>
      <c r="E696" s="1">
        <v>111021.37911399867</v>
      </c>
      <c r="F696" s="1">
        <v>121456.52401919739</v>
      </c>
      <c r="G696" s="1">
        <v>3160.0</v>
      </c>
      <c r="H696" s="1">
        <v>35.13</v>
      </c>
      <c r="I696" s="1">
        <v>38.44</v>
      </c>
      <c r="J696" s="1">
        <v>-3.3</v>
      </c>
      <c r="K696" s="1">
        <v>-9.4</v>
      </c>
      <c r="L696" s="1">
        <f t="shared" si="1"/>
        <v>-10435.14491</v>
      </c>
      <c r="M696" s="1" t="str">
        <f t="shared" si="2"/>
        <v>ON SALE</v>
      </c>
      <c r="N696" s="1">
        <f t="shared" si="3"/>
        <v>35.13334782</v>
      </c>
      <c r="O696" s="1">
        <f t="shared" si="4"/>
        <v>37.1928435</v>
      </c>
      <c r="P696" s="4">
        <f t="shared" si="5"/>
        <v>-0.0273970338</v>
      </c>
    </row>
    <row r="697" ht="15.75" customHeight="1">
      <c r="A697" s="3">
        <v>42333.0</v>
      </c>
      <c r="B697" s="1">
        <v>2015.0</v>
      </c>
      <c r="C697" s="1">
        <v>11.0</v>
      </c>
      <c r="D697" s="1" t="s">
        <v>27</v>
      </c>
      <c r="E697" s="1">
        <v>243161.25923328882</v>
      </c>
      <c r="F697" s="1">
        <v>266054.36985679285</v>
      </c>
      <c r="G697" s="1">
        <v>6924.0</v>
      </c>
      <c r="H697" s="1">
        <v>35.12</v>
      </c>
      <c r="I697" s="1">
        <v>38.42</v>
      </c>
      <c r="J697" s="1">
        <v>-3.31</v>
      </c>
      <c r="K697" s="1">
        <v>-9.41</v>
      </c>
      <c r="L697" s="1">
        <f t="shared" si="1"/>
        <v>-22893.11062</v>
      </c>
      <c r="M697" s="1" t="str">
        <f t="shared" si="2"/>
        <v>ON SALE</v>
      </c>
      <c r="N697" s="1">
        <f t="shared" si="3"/>
        <v>35.11861052</v>
      </c>
      <c r="O697" s="1">
        <f t="shared" si="4"/>
        <v>37.19028814</v>
      </c>
      <c r="P697" s="4">
        <f t="shared" si="5"/>
        <v>-0.0272641484</v>
      </c>
    </row>
    <row r="698" ht="15.75" customHeight="1">
      <c r="A698" s="3">
        <v>42334.0</v>
      </c>
      <c r="B698" s="1">
        <v>2015.0</v>
      </c>
      <c r="C698" s="1">
        <v>11.0</v>
      </c>
      <c r="D698" s="1" t="s">
        <v>27</v>
      </c>
      <c r="E698" s="1">
        <v>311443.18123189744</v>
      </c>
      <c r="F698" s="1">
        <v>355343.87184090714</v>
      </c>
      <c r="G698" s="1">
        <v>9273.0</v>
      </c>
      <c r="H698" s="1">
        <v>33.59</v>
      </c>
      <c r="I698" s="1">
        <v>38.32</v>
      </c>
      <c r="J698" s="1">
        <v>-4.73</v>
      </c>
      <c r="K698" s="1">
        <v>-14.1</v>
      </c>
      <c r="L698" s="1">
        <f t="shared" si="1"/>
        <v>-43900.69061</v>
      </c>
      <c r="M698" s="1" t="str">
        <f t="shared" si="2"/>
        <v>ON SALE</v>
      </c>
      <c r="N698" s="1">
        <f t="shared" si="3"/>
        <v>33.58602192</v>
      </c>
      <c r="O698" s="1">
        <f t="shared" si="4"/>
        <v>37.18470032</v>
      </c>
      <c r="P698" s="4">
        <f t="shared" si="5"/>
        <v>-0.026970556</v>
      </c>
    </row>
    <row r="699" ht="15.75" customHeight="1">
      <c r="A699" s="3">
        <v>42335.0</v>
      </c>
      <c r="B699" s="1">
        <v>2015.0</v>
      </c>
      <c r="C699" s="1">
        <v>11.0</v>
      </c>
      <c r="D699" s="1" t="s">
        <v>27</v>
      </c>
      <c r="E699" s="1">
        <v>375876.0134219526</v>
      </c>
      <c r="F699" s="1">
        <v>431325.6866936764</v>
      </c>
      <c r="G699" s="1">
        <v>11257.0</v>
      </c>
      <c r="H699" s="1">
        <v>33.39</v>
      </c>
      <c r="I699" s="1">
        <v>38.32</v>
      </c>
      <c r="J699" s="1">
        <v>-4.93</v>
      </c>
      <c r="K699" s="1">
        <v>-14.75</v>
      </c>
      <c r="L699" s="1">
        <f t="shared" si="1"/>
        <v>-55449.67327</v>
      </c>
      <c r="M699" s="1" t="str">
        <f t="shared" si="2"/>
        <v>ON SALE</v>
      </c>
      <c r="N699" s="1">
        <f t="shared" si="3"/>
        <v>33.39042493</v>
      </c>
      <c r="O699" s="1">
        <f t="shared" si="4"/>
        <v>37.17777546</v>
      </c>
      <c r="P699" s="4">
        <f t="shared" si="5"/>
        <v>-0.02632606332</v>
      </c>
    </row>
    <row r="700" ht="15.75" customHeight="1">
      <c r="A700" s="3">
        <v>42336.0</v>
      </c>
      <c r="B700" s="1">
        <v>2015.0</v>
      </c>
      <c r="C700" s="1">
        <v>11.0</v>
      </c>
      <c r="D700" s="1" t="s">
        <v>27</v>
      </c>
      <c r="E700" s="1">
        <v>434639.6589952693</v>
      </c>
      <c r="F700" s="1">
        <v>498895.6186453555</v>
      </c>
      <c r="G700" s="1">
        <v>13019.0</v>
      </c>
      <c r="H700" s="1">
        <v>33.39</v>
      </c>
      <c r="I700" s="1">
        <v>38.32</v>
      </c>
      <c r="J700" s="1">
        <v>-4.94</v>
      </c>
      <c r="K700" s="1">
        <v>-14.78</v>
      </c>
      <c r="L700" s="1">
        <f t="shared" si="1"/>
        <v>-64255.95965</v>
      </c>
      <c r="M700" s="1" t="str">
        <f t="shared" si="2"/>
        <v>ON SALE</v>
      </c>
      <c r="N700" s="1">
        <f t="shared" si="3"/>
        <v>33.38502642</v>
      </c>
      <c r="O700" s="1">
        <f t="shared" si="4"/>
        <v>37.16928487</v>
      </c>
      <c r="P700" s="4">
        <f t="shared" si="5"/>
        <v>-0.02549337572</v>
      </c>
    </row>
    <row r="701" ht="15.75" customHeight="1">
      <c r="A701" s="3">
        <v>42337.0</v>
      </c>
      <c r="B701" s="1">
        <v>2015.0</v>
      </c>
      <c r="C701" s="1">
        <v>11.0</v>
      </c>
      <c r="D701" s="1" t="s">
        <v>27</v>
      </c>
      <c r="E701" s="1">
        <v>238637.8163554564</v>
      </c>
      <c r="F701" s="1">
        <v>274093.57795911963</v>
      </c>
      <c r="G701" s="1">
        <v>7139.0</v>
      </c>
      <c r="H701" s="1">
        <v>33.43</v>
      </c>
      <c r="I701" s="1">
        <v>38.39</v>
      </c>
      <c r="J701" s="1">
        <v>-4.97</v>
      </c>
      <c r="K701" s="1">
        <v>-14.86</v>
      </c>
      <c r="L701" s="1">
        <f t="shared" si="1"/>
        <v>-35455.7616</v>
      </c>
      <c r="M701" s="1" t="str">
        <f t="shared" si="2"/>
        <v>ON SALE</v>
      </c>
      <c r="N701" s="1">
        <f t="shared" si="3"/>
        <v>33.42734506</v>
      </c>
      <c r="O701" s="1">
        <f t="shared" si="4"/>
        <v>37.15926805</v>
      </c>
      <c r="P701" s="4">
        <f t="shared" si="5"/>
        <v>-0.02451359627</v>
      </c>
    </row>
    <row r="702" ht="15.75" customHeight="1">
      <c r="A702" s="3">
        <v>42338.0</v>
      </c>
      <c r="B702" s="1">
        <v>2015.0</v>
      </c>
      <c r="C702" s="1">
        <v>11.0</v>
      </c>
      <c r="D702" s="1" t="s">
        <v>27</v>
      </c>
      <c r="E702" s="1">
        <v>260653.6669634964</v>
      </c>
      <c r="F702" s="1">
        <v>283981.1506886445</v>
      </c>
      <c r="G702" s="1">
        <v>7423.0</v>
      </c>
      <c r="H702" s="1">
        <v>35.11</v>
      </c>
      <c r="I702" s="1">
        <v>38.26</v>
      </c>
      <c r="J702" s="1">
        <v>-3.14</v>
      </c>
      <c r="K702" s="1">
        <v>-8.95</v>
      </c>
      <c r="L702" s="1">
        <f t="shared" si="1"/>
        <v>-23327.48373</v>
      </c>
      <c r="M702" s="1" t="str">
        <f t="shared" si="2"/>
        <v>ON SALE</v>
      </c>
      <c r="N702" s="1">
        <f t="shared" si="3"/>
        <v>35.11432938</v>
      </c>
      <c r="O702" s="1">
        <f t="shared" si="4"/>
        <v>37.15334978</v>
      </c>
      <c r="P702" s="4">
        <f t="shared" si="5"/>
        <v>-0.02396568726</v>
      </c>
    </row>
    <row r="703" ht="15.75" customHeight="1">
      <c r="A703" s="3">
        <v>42339.0</v>
      </c>
      <c r="B703" s="1">
        <v>2015.0</v>
      </c>
      <c r="C703" s="1">
        <v>12.0</v>
      </c>
      <c r="D703" s="1" t="s">
        <v>16</v>
      </c>
      <c r="E703" s="1">
        <v>262394.7800182788</v>
      </c>
      <c r="F703" s="1">
        <v>285838.55681476905</v>
      </c>
      <c r="G703" s="1">
        <v>7474.0</v>
      </c>
      <c r="H703" s="1">
        <v>35.11</v>
      </c>
      <c r="I703" s="1">
        <v>38.24</v>
      </c>
      <c r="J703" s="1">
        <v>-3.14</v>
      </c>
      <c r="K703" s="1">
        <v>-8.93</v>
      </c>
      <c r="L703" s="1">
        <f t="shared" si="1"/>
        <v>-23443.7768</v>
      </c>
      <c r="M703" s="1" t="str">
        <f t="shared" si="2"/>
        <v>ON SALE</v>
      </c>
      <c r="N703" s="1">
        <f t="shared" si="3"/>
        <v>35.10767728</v>
      </c>
      <c r="O703" s="1">
        <f t="shared" si="4"/>
        <v>37.14782145</v>
      </c>
      <c r="P703" s="4">
        <f t="shared" si="5"/>
        <v>-0.02364804591</v>
      </c>
    </row>
    <row r="704" ht="15.75" customHeight="1">
      <c r="A704" s="3">
        <v>42340.0</v>
      </c>
      <c r="B704" s="1">
        <v>2015.0</v>
      </c>
      <c r="C704" s="1">
        <v>12.0</v>
      </c>
      <c r="D704" s="1" t="s">
        <v>16</v>
      </c>
      <c r="E704" s="1">
        <v>248437.71130109383</v>
      </c>
      <c r="F704" s="1">
        <v>269807.6204390979</v>
      </c>
      <c r="G704" s="1">
        <v>7056.0</v>
      </c>
      <c r="H704" s="1">
        <v>35.21</v>
      </c>
      <c r="I704" s="1">
        <v>38.24</v>
      </c>
      <c r="J704" s="1">
        <v>-3.03</v>
      </c>
      <c r="K704" s="1">
        <v>-8.6</v>
      </c>
      <c r="L704" s="1">
        <f t="shared" si="1"/>
        <v>-21369.90914</v>
      </c>
      <c r="M704" s="1" t="str">
        <f t="shared" si="2"/>
        <v>ON SALE</v>
      </c>
      <c r="N704" s="1">
        <f t="shared" si="3"/>
        <v>35.2094262</v>
      </c>
      <c r="O704" s="1">
        <f t="shared" si="4"/>
        <v>37.14226244</v>
      </c>
      <c r="P704" s="4">
        <f t="shared" si="5"/>
        <v>-0.02332589596</v>
      </c>
    </row>
    <row r="705" ht="15.75" customHeight="1">
      <c r="A705" s="3">
        <v>42341.0</v>
      </c>
      <c r="B705" s="1">
        <v>2015.0</v>
      </c>
      <c r="C705" s="1">
        <v>12.0</v>
      </c>
      <c r="D705" s="1" t="s">
        <v>16</v>
      </c>
      <c r="E705" s="1">
        <v>201048.83046167396</v>
      </c>
      <c r="F705" s="1">
        <v>219110.39319645413</v>
      </c>
      <c r="G705" s="1">
        <v>5732.0</v>
      </c>
      <c r="H705" s="1">
        <v>35.07</v>
      </c>
      <c r="I705" s="1">
        <v>38.23</v>
      </c>
      <c r="J705" s="1">
        <v>-3.15</v>
      </c>
      <c r="K705" s="1">
        <v>-8.98</v>
      </c>
      <c r="L705" s="1">
        <f t="shared" si="1"/>
        <v>-18061.56273</v>
      </c>
      <c r="M705" s="1" t="str">
        <f t="shared" si="2"/>
        <v>ON SALE</v>
      </c>
      <c r="N705" s="1">
        <f t="shared" si="3"/>
        <v>35.07481341</v>
      </c>
      <c r="O705" s="1">
        <f t="shared" si="4"/>
        <v>37.13699288</v>
      </c>
      <c r="P705" s="4">
        <f t="shared" si="5"/>
        <v>-0.02303348048</v>
      </c>
    </row>
    <row r="706" ht="15.75" customHeight="1">
      <c r="A706" s="3">
        <v>42342.0</v>
      </c>
      <c r="B706" s="1">
        <v>2015.0</v>
      </c>
      <c r="C706" s="1">
        <v>12.0</v>
      </c>
      <c r="D706" s="1" t="s">
        <v>16</v>
      </c>
      <c r="E706" s="1">
        <v>317690.76093605126</v>
      </c>
      <c r="F706" s="1">
        <v>345449.5299468609</v>
      </c>
      <c r="G706" s="1">
        <v>9038.0</v>
      </c>
      <c r="H706" s="1">
        <v>35.15</v>
      </c>
      <c r="I706" s="1">
        <v>38.22</v>
      </c>
      <c r="J706" s="1">
        <v>-3.07</v>
      </c>
      <c r="K706" s="1">
        <v>-8.74</v>
      </c>
      <c r="L706" s="1">
        <f t="shared" si="1"/>
        <v>-27758.76901</v>
      </c>
      <c r="M706" s="1" t="str">
        <f t="shared" si="2"/>
        <v>ON SALE</v>
      </c>
      <c r="N706" s="1">
        <f t="shared" si="3"/>
        <v>35.15055996</v>
      </c>
      <c r="O706" s="1">
        <f t="shared" si="4"/>
        <v>37.13272259</v>
      </c>
      <c r="P706" s="4">
        <f t="shared" si="5"/>
        <v>-0.02278036595</v>
      </c>
    </row>
    <row r="707" ht="15.75" customHeight="1">
      <c r="A707" s="3">
        <v>42343.0</v>
      </c>
      <c r="B707" s="1">
        <v>2015.0</v>
      </c>
      <c r="C707" s="1">
        <v>12.0</v>
      </c>
      <c r="D707" s="1" t="s">
        <v>16</v>
      </c>
      <c r="E707" s="1">
        <v>378527.8726171638</v>
      </c>
      <c r="F707" s="1">
        <v>410385.0370093724</v>
      </c>
      <c r="G707" s="1">
        <v>10737.0</v>
      </c>
      <c r="H707" s="1">
        <v>35.25</v>
      </c>
      <c r="I707" s="1">
        <v>38.22</v>
      </c>
      <c r="J707" s="1">
        <v>-2.97</v>
      </c>
      <c r="K707" s="1">
        <v>-8.42</v>
      </c>
      <c r="L707" s="1">
        <f t="shared" si="1"/>
        <v>-31857.16439</v>
      </c>
      <c r="M707" s="1" t="str">
        <f t="shared" si="2"/>
        <v>ON SALE</v>
      </c>
      <c r="N707" s="1">
        <f t="shared" si="3"/>
        <v>35.25452851</v>
      </c>
      <c r="O707" s="1">
        <f t="shared" si="4"/>
        <v>37.12594528</v>
      </c>
      <c r="P707" s="4">
        <f t="shared" si="5"/>
        <v>-0.02239128623</v>
      </c>
    </row>
    <row r="708" ht="15.75" customHeight="1">
      <c r="A708" s="3">
        <v>42344.0</v>
      </c>
      <c r="B708" s="1">
        <v>2015.0</v>
      </c>
      <c r="C708" s="1">
        <v>12.0</v>
      </c>
      <c r="D708" s="1" t="s">
        <v>16</v>
      </c>
      <c r="E708" s="1">
        <v>195425.39107959517</v>
      </c>
      <c r="F708" s="1">
        <v>210461.38622248988</v>
      </c>
      <c r="G708" s="1">
        <v>5505.0</v>
      </c>
      <c r="H708" s="1">
        <v>35.5</v>
      </c>
      <c r="I708" s="1">
        <v>38.23</v>
      </c>
      <c r="J708" s="1">
        <v>-2.73</v>
      </c>
      <c r="K708" s="1">
        <v>-7.69</v>
      </c>
      <c r="L708" s="1">
        <f t="shared" si="1"/>
        <v>-15035.99514</v>
      </c>
      <c r="M708" s="1" t="str">
        <f t="shared" si="2"/>
        <v>ON SALE</v>
      </c>
      <c r="N708" s="1">
        <f t="shared" si="3"/>
        <v>35.49961691</v>
      </c>
      <c r="O708" s="1">
        <f t="shared" si="4"/>
        <v>37.11778594</v>
      </c>
      <c r="P708" s="4">
        <f t="shared" si="5"/>
        <v>-0.02194478215</v>
      </c>
    </row>
    <row r="709" ht="15.75" customHeight="1">
      <c r="A709" s="3">
        <v>42345.0</v>
      </c>
      <c r="B709" s="1">
        <v>2015.0</v>
      </c>
      <c r="C709" s="1">
        <v>12.0</v>
      </c>
      <c r="D709" s="1" t="s">
        <v>16</v>
      </c>
      <c r="E709" s="1">
        <v>90441.60336852976</v>
      </c>
      <c r="F709" s="1">
        <v>83999.59125393689</v>
      </c>
      <c r="G709" s="1">
        <v>2198.0</v>
      </c>
      <c r="H709" s="1">
        <v>41.15</v>
      </c>
      <c r="I709" s="1">
        <v>38.22</v>
      </c>
      <c r="J709" s="1">
        <v>2.93</v>
      </c>
      <c r="K709" s="1">
        <v>7.12</v>
      </c>
      <c r="L709" s="1">
        <f t="shared" si="1"/>
        <v>6442.012115</v>
      </c>
      <c r="M709" s="1" t="str">
        <f t="shared" si="2"/>
        <v>Regular</v>
      </c>
      <c r="N709" s="1">
        <f t="shared" si="3"/>
        <v>41.14722628</v>
      </c>
      <c r="O709" s="1">
        <f t="shared" si="4"/>
        <v>37.11351929</v>
      </c>
      <c r="P709" s="4">
        <f t="shared" si="5"/>
        <v>-0.0217387749</v>
      </c>
    </row>
    <row r="710" ht="15.75" customHeight="1">
      <c r="A710" s="3">
        <v>42346.0</v>
      </c>
      <c r="B710" s="1">
        <v>2015.0</v>
      </c>
      <c r="C710" s="1">
        <v>12.0</v>
      </c>
      <c r="D710" s="1" t="s">
        <v>16</v>
      </c>
      <c r="E710" s="1">
        <v>117649.00063301293</v>
      </c>
      <c r="F710" s="1">
        <v>121640.37979023655</v>
      </c>
      <c r="G710" s="1">
        <v>3190.0</v>
      </c>
      <c r="H710" s="1">
        <v>36.88</v>
      </c>
      <c r="I710" s="1">
        <v>38.13</v>
      </c>
      <c r="J710" s="1">
        <v>-1.25</v>
      </c>
      <c r="K710" s="1">
        <v>-3.39</v>
      </c>
      <c r="L710" s="1">
        <f t="shared" si="1"/>
        <v>-3991.379157</v>
      </c>
      <c r="M710" s="1" t="str">
        <f t="shared" si="2"/>
        <v>ON SALE</v>
      </c>
      <c r="N710" s="1">
        <f t="shared" si="3"/>
        <v>36.88056446</v>
      </c>
      <c r="O710" s="1">
        <f t="shared" si="4"/>
        <v>37.11182892</v>
      </c>
      <c r="P710" s="4">
        <f t="shared" si="5"/>
        <v>-0.02190022172</v>
      </c>
    </row>
    <row r="711" ht="15.75" customHeight="1">
      <c r="A711" s="3">
        <v>42347.0</v>
      </c>
      <c r="B711" s="1">
        <v>2015.0</v>
      </c>
      <c r="C711" s="1">
        <v>12.0</v>
      </c>
      <c r="D711" s="1" t="s">
        <v>16</v>
      </c>
      <c r="E711" s="1">
        <v>141285.39545671365</v>
      </c>
      <c r="F711" s="1">
        <v>145443.04659183422</v>
      </c>
      <c r="G711" s="1">
        <v>3814.0</v>
      </c>
      <c r="H711" s="1">
        <v>37.04</v>
      </c>
      <c r="I711" s="1">
        <v>38.13</v>
      </c>
      <c r="J711" s="1">
        <v>-1.09</v>
      </c>
      <c r="K711" s="1">
        <v>-2.94</v>
      </c>
      <c r="L711" s="1">
        <f t="shared" si="1"/>
        <v>-4157.651135</v>
      </c>
      <c r="M711" s="1" t="str">
        <f t="shared" si="2"/>
        <v>ON SALE</v>
      </c>
      <c r="N711" s="1">
        <f t="shared" si="3"/>
        <v>37.04388974</v>
      </c>
      <c r="O711" s="1">
        <f t="shared" si="4"/>
        <v>37.10955501</v>
      </c>
      <c r="P711" s="4">
        <f t="shared" si="5"/>
        <v>-0.02187299338</v>
      </c>
    </row>
    <row r="712" ht="15.75" customHeight="1">
      <c r="A712" s="3">
        <v>42348.0</v>
      </c>
      <c r="B712" s="1">
        <v>2015.0</v>
      </c>
      <c r="C712" s="1">
        <v>12.0</v>
      </c>
      <c r="D712" s="1" t="s">
        <v>16</v>
      </c>
      <c r="E712" s="1">
        <v>133183.69368019365</v>
      </c>
      <c r="F712" s="1">
        <v>137725.8761104481</v>
      </c>
      <c r="G712" s="1">
        <v>3610.0</v>
      </c>
      <c r="H712" s="1">
        <v>36.89</v>
      </c>
      <c r="I712" s="1">
        <v>38.15</v>
      </c>
      <c r="J712" s="1">
        <v>-1.26</v>
      </c>
      <c r="K712" s="1">
        <v>-3.41</v>
      </c>
      <c r="L712" s="1">
        <f t="shared" si="1"/>
        <v>-4542.18243</v>
      </c>
      <c r="M712" s="1" t="str">
        <f t="shared" si="2"/>
        <v>ON SALE</v>
      </c>
      <c r="N712" s="1">
        <f t="shared" si="3"/>
        <v>36.89298994</v>
      </c>
      <c r="O712" s="1">
        <f t="shared" si="4"/>
        <v>37.10681705</v>
      </c>
      <c r="P712" s="4">
        <f t="shared" si="5"/>
        <v>-0.02185239707</v>
      </c>
    </row>
    <row r="713" ht="15.75" customHeight="1">
      <c r="A713" s="3">
        <v>42349.0</v>
      </c>
      <c r="B713" s="1">
        <v>2015.0</v>
      </c>
      <c r="C713" s="1">
        <v>12.0</v>
      </c>
      <c r="D713" s="1" t="s">
        <v>16</v>
      </c>
      <c r="E713" s="1">
        <v>229672.25632039242</v>
      </c>
      <c r="F713" s="1">
        <v>237672.0164167957</v>
      </c>
      <c r="G713" s="1">
        <v>6227.0</v>
      </c>
      <c r="H713" s="1">
        <v>36.88</v>
      </c>
      <c r="I713" s="1">
        <v>38.17</v>
      </c>
      <c r="J713" s="1">
        <v>-1.28</v>
      </c>
      <c r="K713" s="1">
        <v>-3.48</v>
      </c>
      <c r="L713" s="1">
        <f t="shared" si="1"/>
        <v>-7999.760096</v>
      </c>
      <c r="M713" s="1" t="str">
        <f t="shared" si="2"/>
        <v>ON SALE</v>
      </c>
      <c r="N713" s="1">
        <f t="shared" si="3"/>
        <v>36.88329152</v>
      </c>
      <c r="O713" s="1">
        <f t="shared" si="4"/>
        <v>37.10416834</v>
      </c>
      <c r="P713" s="4">
        <f t="shared" si="5"/>
        <v>-0.02182082664</v>
      </c>
    </row>
    <row r="714" ht="15.75" customHeight="1">
      <c r="A714" s="3">
        <v>42350.0</v>
      </c>
      <c r="B714" s="1">
        <v>2015.0</v>
      </c>
      <c r="C714" s="1">
        <v>12.0</v>
      </c>
      <c r="D714" s="1" t="s">
        <v>16</v>
      </c>
      <c r="E714" s="1">
        <v>333488.79787882004</v>
      </c>
      <c r="F714" s="1">
        <v>359621.07489373686</v>
      </c>
      <c r="G714" s="1">
        <v>9422.0</v>
      </c>
      <c r="H714" s="1">
        <v>35.39</v>
      </c>
      <c r="I714" s="1">
        <v>38.17</v>
      </c>
      <c r="J714" s="1">
        <v>-2.77</v>
      </c>
      <c r="K714" s="1">
        <v>-7.84</v>
      </c>
      <c r="L714" s="1">
        <f t="shared" si="1"/>
        <v>-26132.27701</v>
      </c>
      <c r="M714" s="1" t="str">
        <f t="shared" si="2"/>
        <v>ON SALE</v>
      </c>
      <c r="N714" s="1">
        <f t="shared" si="3"/>
        <v>35.39469305</v>
      </c>
      <c r="O714" s="1">
        <f t="shared" si="4"/>
        <v>37.09949412</v>
      </c>
      <c r="P714" s="4">
        <f t="shared" si="5"/>
        <v>-0.0217627574</v>
      </c>
    </row>
    <row r="715" ht="15.75" customHeight="1">
      <c r="A715" s="3">
        <v>42351.0</v>
      </c>
      <c r="B715" s="1">
        <v>2015.0</v>
      </c>
      <c r="C715" s="1">
        <v>12.0</v>
      </c>
      <c r="D715" s="1" t="s">
        <v>16</v>
      </c>
      <c r="E715" s="1">
        <v>185422.88563610363</v>
      </c>
      <c r="F715" s="1">
        <v>191390.4013103133</v>
      </c>
      <c r="G715" s="1">
        <v>5014.0</v>
      </c>
      <c r="H715" s="1">
        <v>36.98</v>
      </c>
      <c r="I715" s="1">
        <v>38.17</v>
      </c>
      <c r="J715" s="1">
        <v>-1.19</v>
      </c>
      <c r="K715" s="1">
        <v>-3.22</v>
      </c>
      <c r="L715" s="1">
        <f t="shared" si="1"/>
        <v>-5967.515674</v>
      </c>
      <c r="M715" s="1" t="str">
        <f t="shared" si="2"/>
        <v>ON SALE</v>
      </c>
      <c r="N715" s="1">
        <f t="shared" si="3"/>
        <v>36.98103024</v>
      </c>
      <c r="O715" s="1">
        <f t="shared" si="4"/>
        <v>37.09234131</v>
      </c>
      <c r="P715" s="4">
        <f t="shared" si="5"/>
        <v>-0.02139356707</v>
      </c>
    </row>
    <row r="716" ht="15.75" customHeight="1">
      <c r="A716" s="3">
        <v>42352.0</v>
      </c>
      <c r="B716" s="1">
        <v>2015.0</v>
      </c>
      <c r="C716" s="1">
        <v>12.0</v>
      </c>
      <c r="D716" s="1" t="s">
        <v>16</v>
      </c>
      <c r="E716" s="1">
        <v>173833.13316842366</v>
      </c>
      <c r="F716" s="1">
        <v>179871.05329942374</v>
      </c>
      <c r="G716" s="1">
        <v>4715.0</v>
      </c>
      <c r="H716" s="1">
        <v>36.87</v>
      </c>
      <c r="I716" s="1">
        <v>38.15</v>
      </c>
      <c r="J716" s="1">
        <v>-1.28</v>
      </c>
      <c r="K716" s="1">
        <v>-3.47</v>
      </c>
      <c r="L716" s="1">
        <f t="shared" si="1"/>
        <v>-6037.920131</v>
      </c>
      <c r="M716" s="1" t="str">
        <f t="shared" si="2"/>
        <v>ON SALE</v>
      </c>
      <c r="N716" s="1">
        <f t="shared" si="3"/>
        <v>36.86810884</v>
      </c>
      <c r="O716" s="1">
        <f t="shared" si="4"/>
        <v>37.08848509</v>
      </c>
      <c r="P716" s="4">
        <f t="shared" si="5"/>
        <v>-0.02135429148</v>
      </c>
    </row>
    <row r="717" ht="15.75" customHeight="1">
      <c r="A717" s="3">
        <v>42353.0</v>
      </c>
      <c r="B717" s="1">
        <v>2015.0</v>
      </c>
      <c r="C717" s="1">
        <v>12.0</v>
      </c>
      <c r="D717" s="1" t="s">
        <v>16</v>
      </c>
      <c r="E717" s="1">
        <v>220271.72138524518</v>
      </c>
      <c r="F717" s="1">
        <v>237123.34334010517</v>
      </c>
      <c r="G717" s="1">
        <v>6212.0</v>
      </c>
      <c r="H717" s="1">
        <v>35.46</v>
      </c>
      <c r="I717" s="1">
        <v>38.17</v>
      </c>
      <c r="J717" s="1">
        <v>-2.71</v>
      </c>
      <c r="K717" s="1">
        <v>-7.65</v>
      </c>
      <c r="L717" s="1">
        <f t="shared" si="1"/>
        <v>-16851.62195</v>
      </c>
      <c r="M717" s="1" t="str">
        <f t="shared" si="2"/>
        <v>ON SALE</v>
      </c>
      <c r="N717" s="1">
        <f t="shared" si="3"/>
        <v>35.45906655</v>
      </c>
      <c r="O717" s="1">
        <f t="shared" si="4"/>
        <v>37.08490953</v>
      </c>
      <c r="P717" s="4">
        <f t="shared" si="5"/>
        <v>-0.02130847588</v>
      </c>
    </row>
    <row r="718" ht="15.75" customHeight="1">
      <c r="A718" s="3">
        <v>42354.0</v>
      </c>
      <c r="B718" s="1">
        <v>2015.0</v>
      </c>
      <c r="C718" s="1">
        <v>12.0</v>
      </c>
      <c r="D718" s="1" t="s">
        <v>16</v>
      </c>
      <c r="E718" s="1">
        <v>234468.07119528638</v>
      </c>
      <c r="F718" s="1">
        <v>251493.90890012978</v>
      </c>
      <c r="G718" s="1">
        <v>6585.0</v>
      </c>
      <c r="H718" s="1">
        <v>35.61</v>
      </c>
      <c r="I718" s="1">
        <v>38.19</v>
      </c>
      <c r="J718" s="1">
        <v>-2.59</v>
      </c>
      <c r="K718" s="1">
        <v>-7.26</v>
      </c>
      <c r="L718" s="1">
        <f t="shared" si="1"/>
        <v>-17025.8377</v>
      </c>
      <c r="M718" s="1" t="str">
        <f t="shared" si="2"/>
        <v>ON SALE</v>
      </c>
      <c r="N718" s="1">
        <f t="shared" si="3"/>
        <v>35.60638894</v>
      </c>
      <c r="O718" s="1">
        <f t="shared" si="4"/>
        <v>37.0800585</v>
      </c>
      <c r="P718" s="4">
        <f t="shared" si="5"/>
        <v>-0.02106793787</v>
      </c>
    </row>
    <row r="719" ht="15.75" customHeight="1">
      <c r="A719" s="3">
        <v>42355.0</v>
      </c>
      <c r="B719" s="1">
        <v>2015.0</v>
      </c>
      <c r="C719" s="1">
        <v>12.0</v>
      </c>
      <c r="D719" s="1" t="s">
        <v>16</v>
      </c>
      <c r="E719" s="1">
        <v>213778.13805030516</v>
      </c>
      <c r="F719" s="1">
        <v>230994.3551988599</v>
      </c>
      <c r="G719" s="1">
        <v>6051.0</v>
      </c>
      <c r="H719" s="1">
        <v>35.33</v>
      </c>
      <c r="I719" s="1">
        <v>38.17</v>
      </c>
      <c r="J719" s="1">
        <v>-2.85</v>
      </c>
      <c r="K719" s="1">
        <v>-8.05</v>
      </c>
      <c r="L719" s="1">
        <f t="shared" si="1"/>
        <v>-17216.21715</v>
      </c>
      <c r="M719" s="1" t="str">
        <f t="shared" si="2"/>
        <v>ON SALE</v>
      </c>
      <c r="N719" s="1">
        <f t="shared" si="3"/>
        <v>35.32938986</v>
      </c>
      <c r="O719" s="1">
        <f t="shared" si="4"/>
        <v>37.07477306</v>
      </c>
      <c r="P719" s="4">
        <f t="shared" si="5"/>
        <v>-0.02082770776</v>
      </c>
    </row>
    <row r="720" ht="15.75" customHeight="1">
      <c r="A720" s="3">
        <v>42356.0</v>
      </c>
      <c r="B720" s="1">
        <v>2015.0</v>
      </c>
      <c r="C720" s="1">
        <v>12.0</v>
      </c>
      <c r="D720" s="1" t="s">
        <v>16</v>
      </c>
      <c r="E720" s="1">
        <v>273563.0147962938</v>
      </c>
      <c r="F720" s="1">
        <v>295854.55231599195</v>
      </c>
      <c r="G720" s="1">
        <v>7750.0</v>
      </c>
      <c r="H720" s="1">
        <v>35.3</v>
      </c>
      <c r="I720" s="1">
        <v>38.17</v>
      </c>
      <c r="J720" s="1">
        <v>-2.88</v>
      </c>
      <c r="K720" s="1">
        <v>-8.15</v>
      </c>
      <c r="L720" s="1">
        <f t="shared" si="1"/>
        <v>-22291.53752</v>
      </c>
      <c r="M720" s="1" t="str">
        <f t="shared" si="2"/>
        <v>ON SALE</v>
      </c>
      <c r="N720" s="1">
        <f t="shared" si="3"/>
        <v>35.29845352</v>
      </c>
      <c r="O720" s="1">
        <f t="shared" si="4"/>
        <v>37.0699479</v>
      </c>
      <c r="P720" s="4">
        <f t="shared" si="5"/>
        <v>-0.02057292606</v>
      </c>
    </row>
    <row r="721" ht="15.75" customHeight="1">
      <c r="A721" s="3">
        <v>42357.0</v>
      </c>
      <c r="B721" s="1">
        <v>2015.0</v>
      </c>
      <c r="C721" s="1">
        <v>12.0</v>
      </c>
      <c r="D721" s="1" t="s">
        <v>16</v>
      </c>
      <c r="E721" s="1">
        <v>337506.78841922</v>
      </c>
      <c r="F721" s="1">
        <v>362223.1608767092</v>
      </c>
      <c r="G721" s="1">
        <v>9490.0</v>
      </c>
      <c r="H721" s="1">
        <v>35.56</v>
      </c>
      <c r="I721" s="1">
        <v>38.17</v>
      </c>
      <c r="J721" s="1">
        <v>-2.6</v>
      </c>
      <c r="K721" s="1">
        <v>-7.32</v>
      </c>
      <c r="L721" s="1">
        <f t="shared" si="1"/>
        <v>-24716.37246</v>
      </c>
      <c r="M721" s="1" t="str">
        <f t="shared" si="2"/>
        <v>ON SALE</v>
      </c>
      <c r="N721" s="1">
        <f t="shared" si="3"/>
        <v>35.56446664</v>
      </c>
      <c r="O721" s="1">
        <f t="shared" si="4"/>
        <v>37.06370459</v>
      </c>
      <c r="P721" s="4">
        <f t="shared" si="5"/>
        <v>-0.02023847172</v>
      </c>
    </row>
    <row r="722" ht="15.75" customHeight="1">
      <c r="A722" s="3">
        <v>42358.0</v>
      </c>
      <c r="B722" s="1">
        <v>2015.0</v>
      </c>
      <c r="C722" s="1">
        <v>12.0</v>
      </c>
      <c r="D722" s="1" t="s">
        <v>16</v>
      </c>
      <c r="E722" s="1">
        <v>155312.78386216637</v>
      </c>
      <c r="F722" s="1">
        <v>167421.9736951709</v>
      </c>
      <c r="G722" s="1">
        <v>4382.0</v>
      </c>
      <c r="H722" s="1">
        <v>35.44</v>
      </c>
      <c r="I722" s="1">
        <v>38.21</v>
      </c>
      <c r="J722" s="1">
        <v>-2.76</v>
      </c>
      <c r="K722" s="1">
        <v>-7.8</v>
      </c>
      <c r="L722" s="1">
        <f t="shared" si="1"/>
        <v>-12109.18983</v>
      </c>
      <c r="M722" s="1" t="str">
        <f t="shared" si="2"/>
        <v>ON SALE</v>
      </c>
      <c r="N722" s="1">
        <f t="shared" si="3"/>
        <v>35.44335551</v>
      </c>
      <c r="O722" s="1">
        <f t="shared" si="4"/>
        <v>37.05600355</v>
      </c>
      <c r="P722" s="4">
        <f t="shared" si="5"/>
        <v>-0.0198770381</v>
      </c>
    </row>
    <row r="723" ht="15.75" customHeight="1">
      <c r="A723" s="3">
        <v>42359.0</v>
      </c>
      <c r="B723" s="1">
        <v>2015.0</v>
      </c>
      <c r="C723" s="1">
        <v>12.0</v>
      </c>
      <c r="D723" s="1" t="s">
        <v>16</v>
      </c>
      <c r="E723" s="1">
        <v>289243.3830561976</v>
      </c>
      <c r="F723" s="1">
        <v>312784.97431839356</v>
      </c>
      <c r="G723" s="1">
        <v>8196.0</v>
      </c>
      <c r="H723" s="1">
        <v>35.29</v>
      </c>
      <c r="I723" s="1">
        <v>38.16</v>
      </c>
      <c r="J723" s="1">
        <v>-2.87</v>
      </c>
      <c r="K723" s="1">
        <v>-8.14</v>
      </c>
      <c r="L723" s="1">
        <f t="shared" si="1"/>
        <v>-23541.59126</v>
      </c>
      <c r="M723" s="1" t="str">
        <f t="shared" si="2"/>
        <v>ON SALE</v>
      </c>
      <c r="N723" s="1">
        <f t="shared" si="3"/>
        <v>35.29079832</v>
      </c>
      <c r="O723" s="1">
        <f t="shared" si="4"/>
        <v>37.05228919</v>
      </c>
      <c r="P723" s="4">
        <f t="shared" si="5"/>
        <v>-0.01969414769</v>
      </c>
    </row>
    <row r="724" ht="15.75" customHeight="1">
      <c r="A724" s="3">
        <v>42360.0</v>
      </c>
      <c r="B724" s="1">
        <v>2015.0</v>
      </c>
      <c r="C724" s="1">
        <v>12.0</v>
      </c>
      <c r="D724" s="1" t="s">
        <v>16</v>
      </c>
      <c r="E724" s="1">
        <v>313125.3325325176</v>
      </c>
      <c r="F724" s="1">
        <v>338299.6178454863</v>
      </c>
      <c r="G724" s="1">
        <v>8863.0</v>
      </c>
      <c r="H724" s="1">
        <v>35.33</v>
      </c>
      <c r="I724" s="1">
        <v>38.17</v>
      </c>
      <c r="J724" s="1">
        <v>-2.84</v>
      </c>
      <c r="K724" s="1">
        <v>-8.04</v>
      </c>
      <c r="L724" s="1">
        <f t="shared" si="1"/>
        <v>-25174.28531</v>
      </c>
      <c r="M724" s="1" t="str">
        <f t="shared" si="2"/>
        <v>ON SALE</v>
      </c>
      <c r="N724" s="1">
        <f t="shared" si="3"/>
        <v>35.32949707</v>
      </c>
      <c r="O724" s="1">
        <f t="shared" si="4"/>
        <v>37.04554215</v>
      </c>
      <c r="P724" s="4">
        <f t="shared" si="5"/>
        <v>-0.01933026477</v>
      </c>
    </row>
    <row r="725" ht="15.75" customHeight="1">
      <c r="A725" s="3">
        <v>42361.0</v>
      </c>
      <c r="B725" s="1">
        <v>2015.0</v>
      </c>
      <c r="C725" s="1">
        <v>12.0</v>
      </c>
      <c r="D725" s="1" t="s">
        <v>16</v>
      </c>
      <c r="E725" s="1">
        <v>268330.3927050155</v>
      </c>
      <c r="F725" s="1">
        <v>249584.21516385436</v>
      </c>
      <c r="G725" s="1">
        <v>6534.0</v>
      </c>
      <c r="H725" s="1">
        <v>41.07</v>
      </c>
      <c r="I725" s="1">
        <v>38.2</v>
      </c>
      <c r="J725" s="1">
        <v>2.87</v>
      </c>
      <c r="K725" s="1">
        <v>6.99</v>
      </c>
      <c r="L725" s="1">
        <f t="shared" si="1"/>
        <v>18746.17754</v>
      </c>
      <c r="M725" s="1" t="str">
        <f t="shared" si="2"/>
        <v>Regular</v>
      </c>
      <c r="N725" s="1">
        <f t="shared" si="3"/>
        <v>41.06678799</v>
      </c>
      <c r="O725" s="1">
        <f t="shared" si="4"/>
        <v>37.03810854</v>
      </c>
      <c r="P725" s="4">
        <f t="shared" si="5"/>
        <v>-0.01893785114</v>
      </c>
    </row>
    <row r="726" ht="15.75" customHeight="1">
      <c r="A726" s="3">
        <v>42362.0</v>
      </c>
      <c r="B726" s="1">
        <v>2015.0</v>
      </c>
      <c r="C726" s="1">
        <v>12.0</v>
      </c>
      <c r="D726" s="1" t="s">
        <v>16</v>
      </c>
      <c r="E726" s="1">
        <v>392228.13795848226</v>
      </c>
      <c r="F726" s="1">
        <v>364396.19424887956</v>
      </c>
      <c r="G726" s="1">
        <v>9540.0</v>
      </c>
      <c r="H726" s="1">
        <v>41.11</v>
      </c>
      <c r="I726" s="1">
        <v>38.2</v>
      </c>
      <c r="J726" s="1">
        <v>2.92</v>
      </c>
      <c r="K726" s="1">
        <v>7.1</v>
      </c>
      <c r="L726" s="1">
        <f t="shared" si="1"/>
        <v>27831.94371</v>
      </c>
      <c r="M726" s="1" t="str">
        <f t="shared" si="2"/>
        <v>Regular</v>
      </c>
      <c r="N726" s="1">
        <f t="shared" si="3"/>
        <v>41.11406058</v>
      </c>
      <c r="O726" s="1">
        <f t="shared" si="4"/>
        <v>37.03242845</v>
      </c>
      <c r="P726" s="4">
        <f t="shared" si="5"/>
        <v>-0.0194295555</v>
      </c>
    </row>
    <row r="727" ht="15.75" customHeight="1">
      <c r="A727" s="3">
        <v>42363.0</v>
      </c>
      <c r="B727" s="1">
        <v>2015.0</v>
      </c>
      <c r="C727" s="1">
        <v>12.0</v>
      </c>
      <c r="D727" s="1" t="s">
        <v>16</v>
      </c>
      <c r="E727" s="1">
        <v>133728.98372885137</v>
      </c>
      <c r="F727" s="1">
        <v>124363.55727660947</v>
      </c>
      <c r="G727" s="1">
        <v>3256.0</v>
      </c>
      <c r="H727" s="1">
        <v>41.07</v>
      </c>
      <c r="I727" s="1">
        <v>38.2</v>
      </c>
      <c r="J727" s="1">
        <v>2.88</v>
      </c>
      <c r="K727" s="1">
        <v>7.0</v>
      </c>
      <c r="L727" s="1">
        <f t="shared" si="1"/>
        <v>9365.426452</v>
      </c>
      <c r="M727" s="1" t="str">
        <f t="shared" si="2"/>
        <v>Regular</v>
      </c>
      <c r="N727" s="1">
        <f t="shared" si="3"/>
        <v>41.0715552</v>
      </c>
      <c r="O727" s="1">
        <f t="shared" si="4"/>
        <v>37.0240425</v>
      </c>
      <c r="P727" s="4">
        <f t="shared" si="5"/>
        <v>-0.02016712004</v>
      </c>
    </row>
    <row r="728" ht="15.75" customHeight="1">
      <c r="A728" s="3">
        <v>42364.0</v>
      </c>
      <c r="B728" s="1">
        <v>2015.0</v>
      </c>
      <c r="C728" s="1">
        <v>12.0</v>
      </c>
      <c r="D728" s="1" t="s">
        <v>16</v>
      </c>
      <c r="E728" s="1">
        <v>82778.44404831037</v>
      </c>
      <c r="F728" s="1">
        <v>76876.4926983143</v>
      </c>
      <c r="G728" s="1">
        <v>2013.0</v>
      </c>
      <c r="H728" s="1">
        <v>41.12</v>
      </c>
      <c r="I728" s="1">
        <v>38.19</v>
      </c>
      <c r="J728" s="1">
        <v>2.93</v>
      </c>
      <c r="K728" s="1">
        <v>7.13</v>
      </c>
      <c r="L728" s="1">
        <f t="shared" si="1"/>
        <v>5901.95135</v>
      </c>
      <c r="M728" s="1" t="str">
        <f t="shared" si="2"/>
        <v>Regular</v>
      </c>
      <c r="N728" s="1">
        <f t="shared" si="3"/>
        <v>41.12192948</v>
      </c>
      <c r="O728" s="1">
        <f t="shared" si="4"/>
        <v>37.02115628</v>
      </c>
      <c r="P728" s="4">
        <f t="shared" si="5"/>
        <v>-0.02041876718</v>
      </c>
    </row>
    <row r="729" ht="15.75" customHeight="1">
      <c r="A729" s="3">
        <v>42365.0</v>
      </c>
      <c r="B729" s="1">
        <v>2015.0</v>
      </c>
      <c r="C729" s="1">
        <v>12.0</v>
      </c>
      <c r="D729" s="1" t="s">
        <v>16</v>
      </c>
      <c r="E729" s="1">
        <v>69522.83697394037</v>
      </c>
      <c r="F729" s="1">
        <v>64616.07664627437</v>
      </c>
      <c r="G729" s="1">
        <v>1692.0</v>
      </c>
      <c r="H729" s="1">
        <v>41.09</v>
      </c>
      <c r="I729" s="1">
        <v>38.19</v>
      </c>
      <c r="J729" s="1">
        <v>2.9</v>
      </c>
      <c r="K729" s="1">
        <v>7.06</v>
      </c>
      <c r="L729" s="1">
        <f t="shared" si="1"/>
        <v>4906.760328</v>
      </c>
      <c r="M729" s="1" t="str">
        <f t="shared" si="2"/>
        <v>Regular</v>
      </c>
      <c r="N729" s="1">
        <f t="shared" si="3"/>
        <v>41.08914715</v>
      </c>
      <c r="O729" s="1">
        <f t="shared" si="4"/>
        <v>37.01937268</v>
      </c>
      <c r="P729" s="4">
        <f t="shared" si="5"/>
        <v>-0.02057743079</v>
      </c>
    </row>
    <row r="730" ht="15.75" customHeight="1">
      <c r="A730" s="3">
        <v>42366.0</v>
      </c>
      <c r="B730" s="1">
        <v>2015.0</v>
      </c>
      <c r="C730" s="1">
        <v>12.0</v>
      </c>
      <c r="D730" s="1" t="s">
        <v>16</v>
      </c>
      <c r="E730" s="1">
        <v>133021.27279536257</v>
      </c>
      <c r="F730" s="1">
        <v>123500.78778967516</v>
      </c>
      <c r="G730" s="1">
        <v>3234.0</v>
      </c>
      <c r="H730" s="1">
        <v>41.13</v>
      </c>
      <c r="I730" s="1">
        <v>38.19</v>
      </c>
      <c r="J730" s="1">
        <v>2.94</v>
      </c>
      <c r="K730" s="1">
        <v>7.16</v>
      </c>
      <c r="L730" s="1">
        <f t="shared" si="1"/>
        <v>9520.485006</v>
      </c>
      <c r="M730" s="1" t="str">
        <f t="shared" si="2"/>
        <v>Regular</v>
      </c>
      <c r="N730" s="1">
        <f t="shared" si="3"/>
        <v>41.13211898</v>
      </c>
      <c r="O730" s="1">
        <f t="shared" si="4"/>
        <v>37.01787036</v>
      </c>
      <c r="P730" s="4">
        <f t="shared" si="5"/>
        <v>-0.02071006345</v>
      </c>
    </row>
    <row r="731" ht="15.75" customHeight="1">
      <c r="A731" s="3">
        <v>42367.0</v>
      </c>
      <c r="B731" s="1">
        <v>2015.0</v>
      </c>
      <c r="C731" s="1">
        <v>12.0</v>
      </c>
      <c r="D731" s="1" t="s">
        <v>16</v>
      </c>
      <c r="E731" s="1">
        <v>161267.5205918376</v>
      </c>
      <c r="F731" s="1">
        <v>175378.1459152207</v>
      </c>
      <c r="G731" s="1">
        <v>4592.0</v>
      </c>
      <c r="H731" s="1">
        <v>35.12</v>
      </c>
      <c r="I731" s="1">
        <v>38.19</v>
      </c>
      <c r="J731" s="1">
        <v>-3.07</v>
      </c>
      <c r="K731" s="1">
        <v>-8.75</v>
      </c>
      <c r="L731" s="1">
        <f t="shared" si="1"/>
        <v>-14110.62532</v>
      </c>
      <c r="M731" s="1" t="str">
        <f t="shared" si="2"/>
        <v>ON SALE</v>
      </c>
      <c r="N731" s="1">
        <f t="shared" si="3"/>
        <v>35.11923358</v>
      </c>
      <c r="O731" s="1">
        <f t="shared" si="4"/>
        <v>37.01499041</v>
      </c>
      <c r="P731" s="4">
        <f t="shared" si="5"/>
        <v>-0.02096768792</v>
      </c>
    </row>
    <row r="732" ht="15.75" customHeight="1">
      <c r="A732" s="3">
        <v>42368.0</v>
      </c>
      <c r="B732" s="1">
        <v>2015.0</v>
      </c>
      <c r="C732" s="1">
        <v>12.0</v>
      </c>
      <c r="D732" s="1" t="s">
        <v>16</v>
      </c>
      <c r="E732" s="1">
        <v>208583.21799035516</v>
      </c>
      <c r="F732" s="1">
        <v>227060.26267849398</v>
      </c>
      <c r="G732" s="1">
        <v>5945.0</v>
      </c>
      <c r="H732" s="1">
        <v>35.09</v>
      </c>
      <c r="I732" s="1">
        <v>38.19</v>
      </c>
      <c r="J732" s="1">
        <v>-3.11</v>
      </c>
      <c r="K732" s="1">
        <v>-8.86</v>
      </c>
      <c r="L732" s="1">
        <f t="shared" si="1"/>
        <v>-18477.04469</v>
      </c>
      <c r="M732" s="1" t="str">
        <f t="shared" si="2"/>
        <v>ON SALE</v>
      </c>
      <c r="N732" s="1">
        <f t="shared" si="3"/>
        <v>35.08548663</v>
      </c>
      <c r="O732" s="1">
        <f t="shared" si="4"/>
        <v>37.01086318</v>
      </c>
      <c r="P732" s="4">
        <f t="shared" si="5"/>
        <v>-0.02074174788</v>
      </c>
    </row>
    <row r="733" ht="15.75" customHeight="1">
      <c r="A733" s="3">
        <v>42369.0</v>
      </c>
      <c r="B733" s="1">
        <v>2015.0</v>
      </c>
      <c r="C733" s="1">
        <v>12.0</v>
      </c>
      <c r="D733" s="1" t="s">
        <v>16</v>
      </c>
      <c r="E733" s="1">
        <v>325457.52500147885</v>
      </c>
      <c r="F733" s="1">
        <v>353929.7383549917</v>
      </c>
      <c r="G733" s="1">
        <v>9266.0</v>
      </c>
      <c r="H733" s="1">
        <v>35.12</v>
      </c>
      <c r="I733" s="1">
        <v>38.2</v>
      </c>
      <c r="J733" s="1">
        <v>-3.07</v>
      </c>
      <c r="K733" s="1">
        <v>-8.75</v>
      </c>
      <c r="L733" s="1">
        <f t="shared" si="1"/>
        <v>-28472.21335</v>
      </c>
      <c r="M733" s="1" t="str">
        <f t="shared" si="2"/>
        <v>ON SALE</v>
      </c>
      <c r="N733" s="1">
        <f t="shared" si="3"/>
        <v>35.12384254</v>
      </c>
      <c r="O733" s="1">
        <f t="shared" si="4"/>
        <v>37.00547041</v>
      </c>
      <c r="P733" s="4">
        <f t="shared" si="5"/>
        <v>-0.02044244304</v>
      </c>
    </row>
    <row r="734" ht="15.75" customHeight="1">
      <c r="A734" s="3">
        <v>42370.0</v>
      </c>
      <c r="B734" s="1">
        <v>2016.0</v>
      </c>
      <c r="C734" s="1">
        <v>1.0</v>
      </c>
      <c r="D734" s="1" t="s">
        <v>17</v>
      </c>
      <c r="E734" s="1">
        <v>111650.23977407867</v>
      </c>
      <c r="F734" s="1">
        <v>121448.2838171389</v>
      </c>
      <c r="G734" s="1">
        <v>3179.0</v>
      </c>
      <c r="H734" s="1">
        <v>35.12</v>
      </c>
      <c r="I734" s="1">
        <v>38.2</v>
      </c>
      <c r="J734" s="1">
        <v>-3.08</v>
      </c>
      <c r="K734" s="1">
        <v>-8.78</v>
      </c>
      <c r="L734" s="1">
        <f t="shared" si="1"/>
        <v>-9798.044043</v>
      </c>
      <c r="M734" s="1" t="str">
        <f t="shared" si="2"/>
        <v>ON SALE</v>
      </c>
      <c r="N734" s="1">
        <f t="shared" si="3"/>
        <v>35.12118269</v>
      </c>
      <c r="O734" s="1">
        <f t="shared" si="4"/>
        <v>36.99694403</v>
      </c>
      <c r="P734" s="4">
        <f t="shared" si="5"/>
        <v>-0.01997774264</v>
      </c>
    </row>
    <row r="735" ht="15.75" customHeight="1">
      <c r="A735" s="3">
        <v>42371.0</v>
      </c>
      <c r="B735" s="1">
        <v>2016.0</v>
      </c>
      <c r="C735" s="1">
        <v>1.0</v>
      </c>
      <c r="D735" s="1" t="s">
        <v>17</v>
      </c>
      <c r="E735" s="1">
        <v>262421.2818645576</v>
      </c>
      <c r="F735" s="1">
        <v>285675.8457131606</v>
      </c>
      <c r="G735" s="1">
        <v>7479.0</v>
      </c>
      <c r="H735" s="1">
        <v>35.09</v>
      </c>
      <c r="I735" s="1">
        <v>38.2</v>
      </c>
      <c r="J735" s="1">
        <v>-3.11</v>
      </c>
      <c r="K735" s="1">
        <v>-8.86</v>
      </c>
      <c r="L735" s="1">
        <f t="shared" si="1"/>
        <v>-23254.56385</v>
      </c>
      <c r="M735" s="1" t="str">
        <f t="shared" si="2"/>
        <v>ON SALE</v>
      </c>
      <c r="N735" s="1">
        <f t="shared" si="3"/>
        <v>35.08774995</v>
      </c>
      <c r="O735" s="1">
        <f t="shared" si="4"/>
        <v>36.9939741</v>
      </c>
      <c r="P735" s="4">
        <f t="shared" si="5"/>
        <v>-0.01981618606</v>
      </c>
    </row>
    <row r="736" ht="15.75" customHeight="1">
      <c r="A736" s="3">
        <v>42372.0</v>
      </c>
      <c r="B736" s="1">
        <v>2016.0</v>
      </c>
      <c r="C736" s="1">
        <v>1.0</v>
      </c>
      <c r="D736" s="1" t="s">
        <v>17</v>
      </c>
      <c r="E736" s="1">
        <v>164527.53891335515</v>
      </c>
      <c r="F736" s="1">
        <v>179308.94953055488</v>
      </c>
      <c r="G736" s="1">
        <v>4694.0</v>
      </c>
      <c r="H736" s="1">
        <v>35.05</v>
      </c>
      <c r="I736" s="1">
        <v>38.2</v>
      </c>
      <c r="J736" s="1">
        <v>-3.15</v>
      </c>
      <c r="K736" s="1">
        <v>-8.98</v>
      </c>
      <c r="L736" s="1">
        <f t="shared" si="1"/>
        <v>-14781.41062</v>
      </c>
      <c r="M736" s="1" t="str">
        <f t="shared" si="2"/>
        <v>ON SALE</v>
      </c>
      <c r="N736" s="1">
        <f t="shared" si="3"/>
        <v>35.0506048</v>
      </c>
      <c r="O736" s="1">
        <f t="shared" si="4"/>
        <v>36.98696529</v>
      </c>
      <c r="P736" s="4">
        <f t="shared" si="5"/>
        <v>-0.01942857765</v>
      </c>
    </row>
    <row r="737" ht="15.75" customHeight="1">
      <c r="A737" s="3">
        <v>42373.0</v>
      </c>
      <c r="B737" s="1">
        <v>2016.0</v>
      </c>
      <c r="C737" s="1">
        <v>1.0</v>
      </c>
      <c r="D737" s="1" t="s">
        <v>17</v>
      </c>
      <c r="E737" s="1">
        <v>274990.1464991988</v>
      </c>
      <c r="F737" s="1">
        <v>299576.2413696627</v>
      </c>
      <c r="G737" s="1">
        <v>7843.0</v>
      </c>
      <c r="H737" s="1">
        <v>35.06</v>
      </c>
      <c r="I737" s="1">
        <v>38.2</v>
      </c>
      <c r="J737" s="1">
        <v>-3.13</v>
      </c>
      <c r="K737" s="1">
        <v>-8.94</v>
      </c>
      <c r="L737" s="1">
        <f t="shared" si="1"/>
        <v>-24586.09487</v>
      </c>
      <c r="M737" s="1" t="str">
        <f t="shared" si="2"/>
        <v>ON SALE</v>
      </c>
      <c r="N737" s="1">
        <f t="shared" si="3"/>
        <v>35.06185726</v>
      </c>
      <c r="O737" s="1">
        <f t="shared" si="4"/>
        <v>36.9825152</v>
      </c>
      <c r="P737" s="4">
        <f t="shared" si="5"/>
        <v>-0.01917898097</v>
      </c>
    </row>
    <row r="738" ht="15.75" customHeight="1">
      <c r="A738" s="3">
        <v>42374.0</v>
      </c>
      <c r="B738" s="1">
        <v>2016.0</v>
      </c>
      <c r="C738" s="1">
        <v>1.0</v>
      </c>
      <c r="D738" s="1" t="s">
        <v>17</v>
      </c>
      <c r="E738" s="1">
        <v>215737.84279871394</v>
      </c>
      <c r="F738" s="1">
        <v>234642.08574813223</v>
      </c>
      <c r="G738" s="1">
        <v>6150.0</v>
      </c>
      <c r="H738" s="1">
        <v>35.08</v>
      </c>
      <c r="I738" s="1">
        <v>38.15</v>
      </c>
      <c r="J738" s="1">
        <v>-3.07</v>
      </c>
      <c r="K738" s="1">
        <v>-8.76</v>
      </c>
      <c r="L738" s="1">
        <f t="shared" si="1"/>
        <v>-18904.24295</v>
      </c>
      <c r="M738" s="1" t="str">
        <f t="shared" si="2"/>
        <v>ON SALE</v>
      </c>
      <c r="N738" s="1">
        <f t="shared" si="3"/>
        <v>35.07932403</v>
      </c>
      <c r="O738" s="1">
        <f t="shared" si="4"/>
        <v>36.97502472</v>
      </c>
      <c r="P738" s="4">
        <f t="shared" si="5"/>
        <v>-0.01876042178</v>
      </c>
    </row>
    <row r="739" ht="15.75" customHeight="1">
      <c r="A739" s="3">
        <v>42375.0</v>
      </c>
      <c r="B739" s="1">
        <v>2016.0</v>
      </c>
      <c r="C739" s="1">
        <v>1.0</v>
      </c>
      <c r="D739" s="1" t="s">
        <v>17</v>
      </c>
      <c r="E739" s="1">
        <v>98646.9826975288</v>
      </c>
      <c r="F739" s="1">
        <v>91610.5600019723</v>
      </c>
      <c r="G739" s="1">
        <v>2401.0</v>
      </c>
      <c r="H739" s="1">
        <v>41.09</v>
      </c>
      <c r="I739" s="1">
        <v>38.16</v>
      </c>
      <c r="J739" s="1">
        <v>2.93</v>
      </c>
      <c r="K739" s="1">
        <v>7.13</v>
      </c>
      <c r="L739" s="1">
        <f t="shared" si="1"/>
        <v>7036.422696</v>
      </c>
      <c r="M739" s="1" t="str">
        <f t="shared" si="2"/>
        <v>Regular</v>
      </c>
      <c r="N739" s="1">
        <f t="shared" si="3"/>
        <v>41.08579038</v>
      </c>
      <c r="O739" s="1">
        <f t="shared" si="4"/>
        <v>36.96929742</v>
      </c>
      <c r="P739" s="4">
        <f t="shared" si="5"/>
        <v>-0.01843690851</v>
      </c>
    </row>
    <row r="740" ht="15.75" customHeight="1">
      <c r="A740" s="3">
        <v>42376.0</v>
      </c>
      <c r="B740" s="1">
        <v>2016.0</v>
      </c>
      <c r="C740" s="1">
        <v>1.0</v>
      </c>
      <c r="D740" s="1" t="s">
        <v>17</v>
      </c>
      <c r="E740" s="1">
        <v>74401.21529302049</v>
      </c>
      <c r="F740" s="1">
        <v>68988.86125910636</v>
      </c>
      <c r="G740" s="1">
        <v>1808.0</v>
      </c>
      <c r="H740" s="1">
        <v>41.15</v>
      </c>
      <c r="I740" s="1">
        <v>38.16</v>
      </c>
      <c r="J740" s="1">
        <v>2.99</v>
      </c>
      <c r="K740" s="1">
        <v>7.27</v>
      </c>
      <c r="L740" s="1">
        <f t="shared" si="1"/>
        <v>5412.354034</v>
      </c>
      <c r="M740" s="1" t="str">
        <f t="shared" si="2"/>
        <v>Regular</v>
      </c>
      <c r="N740" s="1">
        <f t="shared" si="3"/>
        <v>41.15111465</v>
      </c>
      <c r="O740" s="1">
        <f t="shared" si="4"/>
        <v>36.96704253</v>
      </c>
      <c r="P740" s="4">
        <f t="shared" si="5"/>
        <v>-0.0186301473</v>
      </c>
    </row>
    <row r="741" ht="15.75" customHeight="1">
      <c r="A741" s="3">
        <v>42377.0</v>
      </c>
      <c r="B741" s="1">
        <v>2016.0</v>
      </c>
      <c r="C741" s="1">
        <v>1.0</v>
      </c>
      <c r="D741" s="1" t="s">
        <v>17</v>
      </c>
      <c r="E741" s="1">
        <v>106592.34299626794</v>
      </c>
      <c r="F741" s="1">
        <v>99021.68292069217</v>
      </c>
      <c r="G741" s="1">
        <v>2594.0</v>
      </c>
      <c r="H741" s="1">
        <v>41.09</v>
      </c>
      <c r="I741" s="1">
        <v>38.17</v>
      </c>
      <c r="J741" s="1">
        <v>2.92</v>
      </c>
      <c r="K741" s="1">
        <v>7.1</v>
      </c>
      <c r="L741" s="1">
        <f t="shared" si="1"/>
        <v>7570.660076</v>
      </c>
      <c r="M741" s="1" t="str">
        <f t="shared" si="2"/>
        <v>Regular</v>
      </c>
      <c r="N741" s="1">
        <f t="shared" si="3"/>
        <v>41.09188242</v>
      </c>
      <c r="O741" s="1">
        <f t="shared" si="4"/>
        <v>36.96533546</v>
      </c>
      <c r="P741" s="4">
        <f t="shared" si="5"/>
        <v>-0.01877874556</v>
      </c>
    </row>
    <row r="742" ht="15.75" customHeight="1">
      <c r="A742" s="3">
        <v>42378.0</v>
      </c>
      <c r="B742" s="1">
        <v>2016.0</v>
      </c>
      <c r="C742" s="1">
        <v>1.0</v>
      </c>
      <c r="D742" s="1" t="s">
        <v>17</v>
      </c>
      <c r="E742" s="1">
        <v>134629.65819693016</v>
      </c>
      <c r="F742" s="1">
        <v>124963.46551384707</v>
      </c>
      <c r="G742" s="1">
        <v>3274.0</v>
      </c>
      <c r="H742" s="1">
        <v>41.12</v>
      </c>
      <c r="I742" s="1">
        <v>38.17</v>
      </c>
      <c r="J742" s="1">
        <v>2.95</v>
      </c>
      <c r="K742" s="1">
        <v>7.18</v>
      </c>
      <c r="L742" s="1">
        <f t="shared" si="1"/>
        <v>9666.192683</v>
      </c>
      <c r="M742" s="1" t="str">
        <f t="shared" si="2"/>
        <v>Regular</v>
      </c>
      <c r="N742" s="1">
        <f t="shared" si="3"/>
        <v>41.12084856</v>
      </c>
      <c r="O742" s="1">
        <f t="shared" si="4"/>
        <v>36.96284513</v>
      </c>
      <c r="P742" s="4">
        <f t="shared" si="5"/>
        <v>-0.01898846269</v>
      </c>
    </row>
    <row r="743" ht="15.75" customHeight="1">
      <c r="A743" s="3">
        <v>42379.0</v>
      </c>
      <c r="B743" s="1">
        <v>2016.0</v>
      </c>
      <c r="C743" s="1">
        <v>1.0</v>
      </c>
      <c r="D743" s="1" t="s">
        <v>17</v>
      </c>
      <c r="E743" s="1">
        <v>90773.65305790915</v>
      </c>
      <c r="F743" s="1">
        <v>84299.28823998044</v>
      </c>
      <c r="G743" s="1">
        <v>2207.0</v>
      </c>
      <c r="H743" s="1">
        <v>41.13</v>
      </c>
      <c r="I743" s="1">
        <v>38.2</v>
      </c>
      <c r="J743" s="1">
        <v>2.93</v>
      </c>
      <c r="K743" s="1">
        <v>7.13</v>
      </c>
      <c r="L743" s="1">
        <f t="shared" si="1"/>
        <v>6474.364818</v>
      </c>
      <c r="M743" s="1" t="str">
        <f t="shared" si="2"/>
        <v>Regular</v>
      </c>
      <c r="N743" s="1">
        <f t="shared" si="3"/>
        <v>41.12988358</v>
      </c>
      <c r="O743" s="1">
        <f t="shared" si="4"/>
        <v>36.95970012</v>
      </c>
      <c r="P743" s="4">
        <f t="shared" si="5"/>
        <v>-0.01925703597</v>
      </c>
    </row>
    <row r="744" ht="15.75" customHeight="1">
      <c r="A744" s="3">
        <v>42380.0</v>
      </c>
      <c r="B744" s="1">
        <v>2016.0</v>
      </c>
      <c r="C744" s="1">
        <v>1.0</v>
      </c>
      <c r="D744" s="1" t="s">
        <v>17</v>
      </c>
      <c r="E744" s="1">
        <v>121373.06822441636</v>
      </c>
      <c r="F744" s="1">
        <v>112550.43230873269</v>
      </c>
      <c r="G744" s="1">
        <v>2949.0</v>
      </c>
      <c r="H744" s="1">
        <v>41.16</v>
      </c>
      <c r="I744" s="1">
        <v>38.17</v>
      </c>
      <c r="J744" s="1">
        <v>2.99</v>
      </c>
      <c r="K744" s="1">
        <v>7.27</v>
      </c>
      <c r="L744" s="1">
        <f t="shared" si="1"/>
        <v>8822.635916</v>
      </c>
      <c r="M744" s="1" t="str">
        <f t="shared" si="2"/>
        <v>Regular</v>
      </c>
      <c r="N744" s="1">
        <f t="shared" si="3"/>
        <v>41.15736461</v>
      </c>
      <c r="O744" s="1">
        <f t="shared" si="4"/>
        <v>36.95752166</v>
      </c>
      <c r="P744" s="4">
        <f t="shared" si="5"/>
        <v>-0.01943807183</v>
      </c>
    </row>
    <row r="745" ht="15.75" customHeight="1">
      <c r="A745" s="3">
        <v>42381.0</v>
      </c>
      <c r="B745" s="1">
        <v>2016.0</v>
      </c>
      <c r="C745" s="1">
        <v>1.0</v>
      </c>
      <c r="D745" s="1" t="s">
        <v>17</v>
      </c>
      <c r="E745" s="1">
        <v>99445.55710397917</v>
      </c>
      <c r="F745" s="1">
        <v>92226.51809575803</v>
      </c>
      <c r="G745" s="1">
        <v>2417.0</v>
      </c>
      <c r="H745" s="1">
        <v>41.14</v>
      </c>
      <c r="I745" s="1">
        <v>38.16</v>
      </c>
      <c r="J745" s="1">
        <v>2.99</v>
      </c>
      <c r="K745" s="1">
        <v>7.26</v>
      </c>
      <c r="L745" s="1">
        <f t="shared" si="1"/>
        <v>7219.039008</v>
      </c>
      <c r="M745" s="1" t="str">
        <f t="shared" si="2"/>
        <v>Regular</v>
      </c>
      <c r="N745" s="1">
        <f t="shared" si="3"/>
        <v>41.14421063</v>
      </c>
      <c r="O745" s="1">
        <f t="shared" si="4"/>
        <v>36.95467123</v>
      </c>
      <c r="P745" s="4">
        <f t="shared" si="5"/>
        <v>-0.01968492785</v>
      </c>
    </row>
    <row r="746" ht="15.75" customHeight="1">
      <c r="A746" s="3">
        <v>42382.0</v>
      </c>
      <c r="B746" s="1">
        <v>2016.0</v>
      </c>
      <c r="C746" s="1">
        <v>1.0</v>
      </c>
      <c r="D746" s="1" t="s">
        <v>17</v>
      </c>
      <c r="E746" s="1">
        <v>67587.54693007037</v>
      </c>
      <c r="F746" s="1">
        <v>62760.35683146228</v>
      </c>
      <c r="G746" s="1">
        <v>1644.0</v>
      </c>
      <c r="H746" s="1">
        <v>41.11</v>
      </c>
      <c r="I746" s="1">
        <v>38.18</v>
      </c>
      <c r="J746" s="1">
        <v>2.94</v>
      </c>
      <c r="K746" s="1">
        <v>7.14</v>
      </c>
      <c r="L746" s="1">
        <f t="shared" si="1"/>
        <v>4827.190099</v>
      </c>
      <c r="M746" s="1" t="str">
        <f t="shared" si="2"/>
        <v>Regular</v>
      </c>
      <c r="N746" s="1">
        <f t="shared" si="3"/>
        <v>41.11164655</v>
      </c>
      <c r="O746" s="1">
        <f t="shared" si="4"/>
        <v>36.95234084</v>
      </c>
      <c r="P746" s="4">
        <f t="shared" si="5"/>
        <v>-0.01988796031</v>
      </c>
    </row>
    <row r="747" ht="15.75" customHeight="1">
      <c r="A747" s="3">
        <v>42383.0</v>
      </c>
      <c r="B747" s="1">
        <v>2016.0</v>
      </c>
      <c r="C747" s="1">
        <v>1.0</v>
      </c>
      <c r="D747" s="1" t="s">
        <v>17</v>
      </c>
      <c r="E747" s="1">
        <v>61685.93523841037</v>
      </c>
      <c r="F747" s="1">
        <v>57191.43931779157</v>
      </c>
      <c r="G747" s="1">
        <v>1499.0</v>
      </c>
      <c r="H747" s="1">
        <v>41.15</v>
      </c>
      <c r="I747" s="1">
        <v>38.15</v>
      </c>
      <c r="J747" s="1">
        <v>3.0</v>
      </c>
      <c r="K747" s="1">
        <v>7.29</v>
      </c>
      <c r="L747" s="1">
        <f t="shared" si="1"/>
        <v>4494.495921</v>
      </c>
      <c r="M747" s="1" t="str">
        <f t="shared" si="2"/>
        <v>Regular</v>
      </c>
      <c r="N747" s="1">
        <f t="shared" si="3"/>
        <v>41.15139109</v>
      </c>
      <c r="O747" s="1">
        <f t="shared" si="4"/>
        <v>36.95072687</v>
      </c>
      <c r="P747" s="4">
        <f t="shared" si="5"/>
        <v>-0.02002470619</v>
      </c>
    </row>
    <row r="748" ht="15.75" customHeight="1">
      <c r="A748" s="3">
        <v>42384.0</v>
      </c>
      <c r="B748" s="1">
        <v>2016.0</v>
      </c>
      <c r="C748" s="1">
        <v>1.0</v>
      </c>
      <c r="D748" s="1" t="s">
        <v>17</v>
      </c>
      <c r="E748" s="1">
        <v>150006.92979182393</v>
      </c>
      <c r="F748" s="1">
        <v>139244.8957677091</v>
      </c>
      <c r="G748" s="1">
        <v>3648.0</v>
      </c>
      <c r="H748" s="1">
        <v>41.12</v>
      </c>
      <c r="I748" s="1">
        <v>38.17</v>
      </c>
      <c r="J748" s="1">
        <v>2.95</v>
      </c>
      <c r="K748" s="1">
        <v>7.17</v>
      </c>
      <c r="L748" s="1">
        <f t="shared" si="1"/>
        <v>10762.03402</v>
      </c>
      <c r="M748" s="1" t="str">
        <f t="shared" si="2"/>
        <v>Regular</v>
      </c>
      <c r="N748" s="1">
        <f t="shared" si="3"/>
        <v>41.12032067</v>
      </c>
      <c r="O748" s="1">
        <f t="shared" si="4"/>
        <v>36.94927845</v>
      </c>
      <c r="P748" s="4">
        <f t="shared" si="5"/>
        <v>-0.02015184015</v>
      </c>
    </row>
    <row r="749" ht="15.75" customHeight="1">
      <c r="A749" s="3">
        <v>42385.0</v>
      </c>
      <c r="B749" s="1">
        <v>2016.0</v>
      </c>
      <c r="C749" s="1">
        <v>1.0</v>
      </c>
      <c r="D749" s="1" t="s">
        <v>17</v>
      </c>
      <c r="E749" s="1">
        <v>191287.35348550288</v>
      </c>
      <c r="F749" s="1">
        <v>177577.28721349483</v>
      </c>
      <c r="G749" s="1">
        <v>4652.0</v>
      </c>
      <c r="H749" s="1">
        <v>41.12</v>
      </c>
      <c r="I749" s="1">
        <v>38.17</v>
      </c>
      <c r="J749" s="1">
        <v>2.95</v>
      </c>
      <c r="K749" s="1">
        <v>7.17</v>
      </c>
      <c r="L749" s="1">
        <f t="shared" si="1"/>
        <v>13710.06627</v>
      </c>
      <c r="M749" s="1" t="str">
        <f t="shared" si="2"/>
        <v>Regular</v>
      </c>
      <c r="N749" s="1">
        <f t="shared" si="3"/>
        <v>41.11937951</v>
      </c>
      <c r="O749" s="1">
        <f t="shared" si="4"/>
        <v>36.94568852</v>
      </c>
      <c r="P749" s="4">
        <f t="shared" si="5"/>
        <v>-0.02045872814</v>
      </c>
    </row>
    <row r="750" ht="15.75" customHeight="1">
      <c r="A750" s="3">
        <v>42386.0</v>
      </c>
      <c r="B750" s="1">
        <v>2016.0</v>
      </c>
      <c r="C750" s="1">
        <v>1.0</v>
      </c>
      <c r="D750" s="1" t="s">
        <v>17</v>
      </c>
      <c r="E750" s="1">
        <v>92595.46083693915</v>
      </c>
      <c r="F750" s="1">
        <v>86018.18960551938</v>
      </c>
      <c r="G750" s="1">
        <v>2252.0</v>
      </c>
      <c r="H750" s="1">
        <v>41.12</v>
      </c>
      <c r="I750" s="1">
        <v>38.2</v>
      </c>
      <c r="J750" s="1">
        <v>2.92</v>
      </c>
      <c r="K750" s="1">
        <v>7.1</v>
      </c>
      <c r="L750" s="1">
        <f t="shared" si="1"/>
        <v>6577.271231</v>
      </c>
      <c r="M750" s="1" t="str">
        <f t="shared" si="2"/>
        <v>Regular</v>
      </c>
      <c r="N750" s="1">
        <f t="shared" si="3"/>
        <v>41.11698971</v>
      </c>
      <c r="O750" s="1">
        <f t="shared" si="4"/>
        <v>36.94107213</v>
      </c>
      <c r="P750" s="4">
        <f t="shared" si="5"/>
        <v>-0.02085275135</v>
      </c>
    </row>
    <row r="751" ht="15.75" customHeight="1">
      <c r="A751" s="3">
        <v>42387.0</v>
      </c>
      <c r="B751" s="1">
        <v>2016.0</v>
      </c>
      <c r="C751" s="1">
        <v>1.0</v>
      </c>
      <c r="D751" s="1" t="s">
        <v>17</v>
      </c>
      <c r="E751" s="1">
        <v>96947.05428847916</v>
      </c>
      <c r="F751" s="1">
        <v>89961.35950377268</v>
      </c>
      <c r="G751" s="1">
        <v>2357.0</v>
      </c>
      <c r="H751" s="1">
        <v>41.13</v>
      </c>
      <c r="I751" s="1">
        <v>38.17</v>
      </c>
      <c r="J751" s="1">
        <v>2.96</v>
      </c>
      <c r="K751" s="1">
        <v>7.21</v>
      </c>
      <c r="L751" s="1">
        <f t="shared" si="1"/>
        <v>6985.694785</v>
      </c>
      <c r="M751" s="1" t="str">
        <f t="shared" si="2"/>
        <v>Regular</v>
      </c>
      <c r="N751" s="1">
        <f t="shared" si="3"/>
        <v>41.13154616</v>
      </c>
      <c r="O751" s="1">
        <f t="shared" si="4"/>
        <v>36.93878086</v>
      </c>
      <c r="P751" s="4">
        <f t="shared" si="5"/>
        <v>-0.02104336887</v>
      </c>
    </row>
    <row r="752" ht="15.75" customHeight="1">
      <c r="A752" s="3">
        <v>42388.0</v>
      </c>
      <c r="B752" s="1">
        <v>2016.0</v>
      </c>
      <c r="C752" s="1">
        <v>1.0</v>
      </c>
      <c r="D752" s="1" t="s">
        <v>17</v>
      </c>
      <c r="E752" s="1">
        <v>70512.8945004905</v>
      </c>
      <c r="F752" s="1">
        <v>65453.27639155451</v>
      </c>
      <c r="G752" s="1">
        <v>1715.0</v>
      </c>
      <c r="H752" s="1">
        <v>41.12</v>
      </c>
      <c r="I752" s="1">
        <v>38.17</v>
      </c>
      <c r="J752" s="1">
        <v>2.95</v>
      </c>
      <c r="K752" s="1">
        <v>7.18</v>
      </c>
      <c r="L752" s="1">
        <f t="shared" si="1"/>
        <v>5059.618109</v>
      </c>
      <c r="M752" s="1" t="str">
        <f t="shared" si="2"/>
        <v>Regular</v>
      </c>
      <c r="N752" s="1">
        <f t="shared" si="3"/>
        <v>41.11539038</v>
      </c>
      <c r="O752" s="1">
        <f t="shared" si="4"/>
        <v>36.93642856</v>
      </c>
      <c r="P752" s="4">
        <f t="shared" si="5"/>
        <v>-0.02124602398</v>
      </c>
    </row>
    <row r="753" ht="15.75" customHeight="1">
      <c r="A753" s="3">
        <v>42389.0</v>
      </c>
      <c r="B753" s="1">
        <v>2016.0</v>
      </c>
      <c r="C753" s="1">
        <v>1.0</v>
      </c>
      <c r="D753" s="1" t="s">
        <v>17</v>
      </c>
      <c r="E753" s="1">
        <v>159590.49006920136</v>
      </c>
      <c r="F753" s="1">
        <v>182351.1388452415</v>
      </c>
      <c r="G753" s="1">
        <v>4776.0</v>
      </c>
      <c r="H753" s="1">
        <v>33.42</v>
      </c>
      <c r="I753" s="1">
        <v>38.18</v>
      </c>
      <c r="J753" s="1">
        <v>-4.77</v>
      </c>
      <c r="K753" s="1">
        <v>-14.26</v>
      </c>
      <c r="L753" s="1">
        <f t="shared" si="1"/>
        <v>-22760.64878</v>
      </c>
      <c r="M753" s="1" t="str">
        <f t="shared" si="2"/>
        <v>ON SALE</v>
      </c>
      <c r="N753" s="1">
        <f t="shared" si="3"/>
        <v>33.41509424</v>
      </c>
      <c r="O753" s="1">
        <f t="shared" si="4"/>
        <v>36.93471488</v>
      </c>
      <c r="P753" s="4">
        <f t="shared" si="5"/>
        <v>-0.02139349767</v>
      </c>
    </row>
    <row r="754" ht="15.75" customHeight="1">
      <c r="A754" s="3">
        <v>42390.0</v>
      </c>
      <c r="B754" s="1">
        <v>2016.0</v>
      </c>
      <c r="C754" s="1">
        <v>1.0</v>
      </c>
      <c r="D754" s="1" t="s">
        <v>17</v>
      </c>
      <c r="E754" s="1">
        <v>67046.27341580037</v>
      </c>
      <c r="F754" s="1">
        <v>61894.26256053051</v>
      </c>
      <c r="G754" s="1">
        <v>1628.0</v>
      </c>
      <c r="H754" s="1">
        <v>41.18</v>
      </c>
      <c r="I754" s="1">
        <v>38.02</v>
      </c>
      <c r="J754" s="1">
        <v>3.16</v>
      </c>
      <c r="K754" s="1">
        <v>7.68</v>
      </c>
      <c r="L754" s="1">
        <f t="shared" si="1"/>
        <v>5152.010855</v>
      </c>
      <c r="M754" s="1" t="str">
        <f t="shared" si="2"/>
        <v>Regular</v>
      </c>
      <c r="N754" s="1">
        <f t="shared" si="3"/>
        <v>41.18321463</v>
      </c>
      <c r="O754" s="1">
        <f t="shared" si="4"/>
        <v>36.92985665</v>
      </c>
      <c r="P754" s="4">
        <f t="shared" si="5"/>
        <v>-0.02095685786</v>
      </c>
    </row>
    <row r="755" ht="15.75" customHeight="1">
      <c r="A755" s="3">
        <v>42391.0</v>
      </c>
      <c r="B755" s="1">
        <v>2016.0</v>
      </c>
      <c r="C755" s="1">
        <v>1.0</v>
      </c>
      <c r="D755" s="1" t="s">
        <v>17</v>
      </c>
      <c r="E755" s="1">
        <v>266949.23879314214</v>
      </c>
      <c r="F755" s="1">
        <v>294322.9271827347</v>
      </c>
      <c r="G755" s="1">
        <v>7806.0</v>
      </c>
      <c r="H755" s="1">
        <v>34.2</v>
      </c>
      <c r="I755" s="1">
        <v>37.7</v>
      </c>
      <c r="J755" s="1">
        <v>-3.51</v>
      </c>
      <c r="K755" s="1">
        <v>-10.25</v>
      </c>
      <c r="L755" s="1">
        <f t="shared" si="1"/>
        <v>-27373.68839</v>
      </c>
      <c r="M755" s="1" t="str">
        <f t="shared" si="2"/>
        <v>ON SALE</v>
      </c>
      <c r="N755" s="1">
        <f t="shared" si="3"/>
        <v>34.19795526</v>
      </c>
      <c r="O755" s="1">
        <f t="shared" si="4"/>
        <v>36.92840773</v>
      </c>
      <c r="P755" s="4">
        <f t="shared" si="5"/>
        <v>-0.02110507242</v>
      </c>
    </row>
    <row r="756" ht="15.75" customHeight="1">
      <c r="A756" s="3">
        <v>42392.0</v>
      </c>
      <c r="B756" s="1">
        <v>2016.0</v>
      </c>
      <c r="C756" s="1">
        <v>1.0</v>
      </c>
      <c r="D756" s="1" t="s">
        <v>17</v>
      </c>
      <c r="E756" s="1">
        <v>315272.2247721219</v>
      </c>
      <c r="F756" s="1">
        <v>346093.067004291</v>
      </c>
      <c r="G756" s="1">
        <v>9210.0</v>
      </c>
      <c r="H756" s="1">
        <v>34.23</v>
      </c>
      <c r="I756" s="1">
        <v>37.58</v>
      </c>
      <c r="J756" s="1">
        <v>-3.35</v>
      </c>
      <c r="K756" s="1">
        <v>-9.78</v>
      </c>
      <c r="L756" s="1">
        <f t="shared" si="1"/>
        <v>-30820.84223</v>
      </c>
      <c r="M756" s="1" t="str">
        <f t="shared" si="2"/>
        <v>ON SALE</v>
      </c>
      <c r="N756" s="1">
        <f t="shared" si="3"/>
        <v>34.23151192</v>
      </c>
      <c r="O756" s="1">
        <f t="shared" si="4"/>
        <v>36.92342225</v>
      </c>
      <c r="P756" s="4">
        <f t="shared" si="5"/>
        <v>-0.02061069132</v>
      </c>
    </row>
    <row r="757" ht="15.75" customHeight="1">
      <c r="A757" s="3">
        <v>42393.0</v>
      </c>
      <c r="B757" s="1">
        <v>2016.0</v>
      </c>
      <c r="C757" s="1">
        <v>1.0</v>
      </c>
      <c r="D757" s="1" t="s">
        <v>17</v>
      </c>
      <c r="E757" s="1">
        <v>149138.92151888515</v>
      </c>
      <c r="F757" s="1">
        <v>163505.71301989807</v>
      </c>
      <c r="G757" s="1">
        <v>4351.0</v>
      </c>
      <c r="H757" s="1">
        <v>34.28</v>
      </c>
      <c r="I757" s="1">
        <v>37.58</v>
      </c>
      <c r="J757" s="1">
        <v>-3.3</v>
      </c>
      <c r="K757" s="1">
        <v>-9.63</v>
      </c>
      <c r="L757" s="1">
        <f t="shared" si="1"/>
        <v>-14366.7915</v>
      </c>
      <c r="M757" s="1" t="str">
        <f t="shared" si="2"/>
        <v>ON SALE</v>
      </c>
      <c r="N757" s="1">
        <f t="shared" si="3"/>
        <v>34.27692979</v>
      </c>
      <c r="O757" s="1">
        <f t="shared" si="4"/>
        <v>36.91842477</v>
      </c>
      <c r="P757" s="4">
        <f t="shared" si="5"/>
        <v>-0.02005357249</v>
      </c>
    </row>
    <row r="758" ht="15.75" customHeight="1">
      <c r="A758" s="3">
        <v>42394.0</v>
      </c>
      <c r="B758" s="1">
        <v>2016.0</v>
      </c>
      <c r="C758" s="1">
        <v>1.0</v>
      </c>
      <c r="D758" s="1" t="s">
        <v>17</v>
      </c>
      <c r="E758" s="1">
        <v>215171.03820177002</v>
      </c>
      <c r="F758" s="1">
        <v>234621.5988597088</v>
      </c>
      <c r="G758" s="1">
        <v>6278.0</v>
      </c>
      <c r="H758" s="1">
        <v>34.27</v>
      </c>
      <c r="I758" s="1">
        <v>37.37</v>
      </c>
      <c r="J758" s="1">
        <v>-3.1</v>
      </c>
      <c r="K758" s="1">
        <v>-9.04</v>
      </c>
      <c r="L758" s="1">
        <f t="shared" si="1"/>
        <v>-19450.56066</v>
      </c>
      <c r="M758" s="1" t="str">
        <f t="shared" si="2"/>
        <v>ON SALE</v>
      </c>
      <c r="N758" s="1">
        <f t="shared" si="3"/>
        <v>34.2738194</v>
      </c>
      <c r="O758" s="1">
        <f t="shared" si="4"/>
        <v>36.9160339</v>
      </c>
      <c r="P758" s="4">
        <f t="shared" si="5"/>
        <v>-0.01979210981</v>
      </c>
    </row>
    <row r="759" ht="15.75" customHeight="1">
      <c r="A759" s="3">
        <v>42395.0</v>
      </c>
      <c r="B759" s="1">
        <v>2016.0</v>
      </c>
      <c r="C759" s="1">
        <v>1.0</v>
      </c>
      <c r="D759" s="1" t="s">
        <v>17</v>
      </c>
      <c r="E759" s="1">
        <v>205197.8983571688</v>
      </c>
      <c r="F759" s="1">
        <v>221931.5800527438</v>
      </c>
      <c r="G759" s="1">
        <v>5992.0</v>
      </c>
      <c r="H759" s="1">
        <v>34.25</v>
      </c>
      <c r="I759" s="1">
        <v>37.04</v>
      </c>
      <c r="J759" s="1">
        <v>-2.79</v>
      </c>
      <c r="K759" s="1">
        <v>-8.15</v>
      </c>
      <c r="L759" s="1">
        <f t="shared" si="1"/>
        <v>-16733.6817</v>
      </c>
      <c r="M759" s="1" t="str">
        <f t="shared" si="2"/>
        <v>ON SALE</v>
      </c>
      <c r="N759" s="1">
        <f t="shared" si="3"/>
        <v>34.24531014</v>
      </c>
      <c r="O759" s="1">
        <f t="shared" si="4"/>
        <v>36.9136396</v>
      </c>
      <c r="P759" s="4">
        <f t="shared" si="5"/>
        <v>-0.0194412096</v>
      </c>
    </row>
    <row r="760" ht="15.75" customHeight="1">
      <c r="A760" s="3">
        <v>42396.0</v>
      </c>
      <c r="B760" s="1">
        <v>2016.0</v>
      </c>
      <c r="C760" s="1">
        <v>1.0</v>
      </c>
      <c r="D760" s="1" t="s">
        <v>17</v>
      </c>
      <c r="E760" s="1">
        <v>214452.24842869502</v>
      </c>
      <c r="F760" s="1">
        <v>231730.23274989825</v>
      </c>
      <c r="G760" s="1">
        <v>6265.0</v>
      </c>
      <c r="H760" s="1">
        <v>34.23</v>
      </c>
      <c r="I760" s="1">
        <v>36.99</v>
      </c>
      <c r="J760" s="1">
        <v>-2.76</v>
      </c>
      <c r="K760" s="1">
        <v>-8.06</v>
      </c>
      <c r="L760" s="1">
        <f t="shared" si="1"/>
        <v>-17277.98432</v>
      </c>
      <c r="M760" s="1" t="str">
        <f t="shared" si="2"/>
        <v>ON SALE</v>
      </c>
      <c r="N760" s="1">
        <f t="shared" si="3"/>
        <v>34.23020725</v>
      </c>
      <c r="O760" s="1">
        <f t="shared" si="4"/>
        <v>36.91301332</v>
      </c>
      <c r="P760" s="4">
        <f t="shared" si="5"/>
        <v>-0.0191454393</v>
      </c>
    </row>
    <row r="761" ht="15.75" customHeight="1">
      <c r="A761" s="3">
        <v>42397.0</v>
      </c>
      <c r="B761" s="1">
        <v>2016.0</v>
      </c>
      <c r="C761" s="1">
        <v>1.0</v>
      </c>
      <c r="D761" s="1" t="s">
        <v>17</v>
      </c>
      <c r="E761" s="1">
        <v>195767.97355403757</v>
      </c>
      <c r="F761" s="1">
        <v>210639.84818927525</v>
      </c>
      <c r="G761" s="1">
        <v>5723.0</v>
      </c>
      <c r="H761" s="1">
        <v>34.21</v>
      </c>
      <c r="I761" s="1">
        <v>36.81</v>
      </c>
      <c r="J761" s="1">
        <v>-2.6</v>
      </c>
      <c r="K761" s="1">
        <v>-7.6</v>
      </c>
      <c r="L761" s="1">
        <f t="shared" si="1"/>
        <v>-14871.87464</v>
      </c>
      <c r="M761" s="1" t="str">
        <f t="shared" si="2"/>
        <v>ON SALE</v>
      </c>
      <c r="N761" s="1">
        <f t="shared" si="3"/>
        <v>34.20722935</v>
      </c>
      <c r="O761" s="1">
        <f t="shared" si="4"/>
        <v>36.91261599</v>
      </c>
      <c r="P761" s="4">
        <f t="shared" si="5"/>
        <v>-0.01883821124</v>
      </c>
    </row>
    <row r="762" ht="15.75" customHeight="1">
      <c r="A762" s="3">
        <v>42398.0</v>
      </c>
      <c r="B762" s="1">
        <v>2016.0</v>
      </c>
      <c r="C762" s="1">
        <v>1.0</v>
      </c>
      <c r="D762" s="1" t="s">
        <v>17</v>
      </c>
      <c r="E762" s="1">
        <v>397984.32926288777</v>
      </c>
      <c r="F762" s="1">
        <v>437198.92957971455</v>
      </c>
      <c r="G762" s="1">
        <v>11900.0</v>
      </c>
      <c r="H762" s="1">
        <v>33.44</v>
      </c>
      <c r="I762" s="1">
        <v>36.74</v>
      </c>
      <c r="J762" s="1">
        <v>-3.3</v>
      </c>
      <c r="K762" s="1">
        <v>-9.85</v>
      </c>
      <c r="L762" s="1">
        <f t="shared" si="1"/>
        <v>-39214.60032</v>
      </c>
      <c r="M762" s="1" t="str">
        <f t="shared" si="2"/>
        <v>ON SALE</v>
      </c>
      <c r="N762" s="1">
        <f t="shared" si="3"/>
        <v>33.44406128</v>
      </c>
      <c r="O762" s="1">
        <f t="shared" si="4"/>
        <v>36.91313485</v>
      </c>
      <c r="P762" s="4">
        <f t="shared" si="5"/>
        <v>-0.01857616041</v>
      </c>
    </row>
    <row r="763" ht="15.75" customHeight="1">
      <c r="A763" s="3">
        <v>42399.0</v>
      </c>
      <c r="B763" s="1">
        <v>2016.0</v>
      </c>
      <c r="C763" s="1">
        <v>1.0</v>
      </c>
      <c r="D763" s="1" t="s">
        <v>17</v>
      </c>
      <c r="E763" s="1">
        <v>512603.10345302336</v>
      </c>
      <c r="F763" s="1">
        <v>561872.2060329898</v>
      </c>
      <c r="G763" s="1">
        <v>15345.0</v>
      </c>
      <c r="H763" s="1">
        <v>33.41</v>
      </c>
      <c r="I763" s="1">
        <v>36.62</v>
      </c>
      <c r="J763" s="1">
        <v>-3.21</v>
      </c>
      <c r="K763" s="1">
        <v>-9.61</v>
      </c>
      <c r="L763" s="1">
        <f t="shared" si="1"/>
        <v>-49269.10258</v>
      </c>
      <c r="M763" s="1" t="str">
        <f t="shared" si="2"/>
        <v>ON SALE</v>
      </c>
      <c r="N763" s="1">
        <f t="shared" si="3"/>
        <v>33.40522017</v>
      </c>
      <c r="O763" s="1">
        <f t="shared" si="4"/>
        <v>36.91490826</v>
      </c>
      <c r="P763" s="4">
        <f t="shared" si="5"/>
        <v>-0.01782353189</v>
      </c>
    </row>
    <row r="764" ht="15.75" customHeight="1">
      <c r="A764" s="3">
        <v>42400.0</v>
      </c>
      <c r="B764" s="1">
        <v>2016.0</v>
      </c>
      <c r="C764" s="1">
        <v>1.0</v>
      </c>
      <c r="D764" s="1" t="s">
        <v>17</v>
      </c>
      <c r="E764" s="1">
        <v>218104.06693917137</v>
      </c>
      <c r="F764" s="1">
        <v>238662.19210478582</v>
      </c>
      <c r="G764" s="1">
        <v>6525.0</v>
      </c>
      <c r="H764" s="1">
        <v>33.43</v>
      </c>
      <c r="I764" s="1">
        <v>36.58</v>
      </c>
      <c r="J764" s="1">
        <v>-3.15</v>
      </c>
      <c r="K764" s="1">
        <v>-9.43</v>
      </c>
      <c r="L764" s="1">
        <f t="shared" si="1"/>
        <v>-20558.12517</v>
      </c>
      <c r="M764" s="1" t="str">
        <f t="shared" si="2"/>
        <v>ON SALE</v>
      </c>
      <c r="N764" s="1">
        <f t="shared" si="3"/>
        <v>33.42591064</v>
      </c>
      <c r="O764" s="1">
        <f t="shared" si="4"/>
        <v>36.91889554</v>
      </c>
      <c r="P764" s="4">
        <f t="shared" si="5"/>
        <v>-0.01686268351</v>
      </c>
    </row>
    <row r="765" ht="15.75" customHeight="1">
      <c r="A765" s="3">
        <v>42401.0</v>
      </c>
      <c r="B765" s="1">
        <v>2016.0</v>
      </c>
      <c r="C765" s="1">
        <v>2.0</v>
      </c>
      <c r="D765" s="1" t="s">
        <v>18</v>
      </c>
      <c r="E765" s="1">
        <v>339004.33688676247</v>
      </c>
      <c r="F765" s="1">
        <v>371177.1868830317</v>
      </c>
      <c r="G765" s="1">
        <v>10153.0</v>
      </c>
      <c r="H765" s="1">
        <v>33.39</v>
      </c>
      <c r="I765" s="1">
        <v>36.56</v>
      </c>
      <c r="J765" s="1">
        <v>-3.17</v>
      </c>
      <c r="K765" s="1">
        <v>-9.49</v>
      </c>
      <c r="L765" s="1">
        <f t="shared" si="1"/>
        <v>-32172.85</v>
      </c>
      <c r="M765" s="1" t="str">
        <f t="shared" si="2"/>
        <v>ON SALE</v>
      </c>
      <c r="N765" s="1">
        <f t="shared" si="3"/>
        <v>33.38957322</v>
      </c>
      <c r="O765" s="1">
        <f t="shared" si="4"/>
        <v>36.92084817</v>
      </c>
      <c r="P765" s="4">
        <f t="shared" si="5"/>
        <v>-0.01645641752</v>
      </c>
    </row>
    <row r="766" ht="15.75" customHeight="1">
      <c r="A766" s="3">
        <v>42402.0</v>
      </c>
      <c r="B766" s="1">
        <v>2016.0</v>
      </c>
      <c r="C766" s="1">
        <v>2.0</v>
      </c>
      <c r="D766" s="1" t="s">
        <v>18</v>
      </c>
      <c r="E766" s="1">
        <v>278116.3693275634</v>
      </c>
      <c r="F766" s="1">
        <v>295645.6291087982</v>
      </c>
      <c r="G766" s="1">
        <v>8116.0</v>
      </c>
      <c r="H766" s="1">
        <v>34.27</v>
      </c>
      <c r="I766" s="1">
        <v>36.43</v>
      </c>
      <c r="J766" s="1">
        <v>-2.16</v>
      </c>
      <c r="K766" s="1">
        <v>-6.3</v>
      </c>
      <c r="L766" s="1">
        <f t="shared" si="1"/>
        <v>-17529.25978</v>
      </c>
      <c r="M766" s="1" t="str">
        <f t="shared" si="2"/>
        <v>ON SALE</v>
      </c>
      <c r="N766" s="1">
        <f t="shared" si="3"/>
        <v>34.26766502</v>
      </c>
      <c r="O766" s="1">
        <f t="shared" si="4"/>
        <v>36.92409421</v>
      </c>
      <c r="P766" s="4">
        <f t="shared" si="5"/>
        <v>-0.01581110122</v>
      </c>
    </row>
    <row r="767" ht="15.75" customHeight="1">
      <c r="A767" s="3">
        <v>42403.0</v>
      </c>
      <c r="B767" s="1">
        <v>2016.0</v>
      </c>
      <c r="C767" s="1">
        <v>2.0</v>
      </c>
      <c r="D767" s="1" t="s">
        <v>18</v>
      </c>
      <c r="E767" s="1">
        <v>264159.3006103735</v>
      </c>
      <c r="F767" s="1">
        <v>280392.2735999451</v>
      </c>
      <c r="G767" s="1">
        <v>7712.0</v>
      </c>
      <c r="H767" s="1">
        <v>34.25</v>
      </c>
      <c r="I767" s="1">
        <v>36.36</v>
      </c>
      <c r="J767" s="1">
        <v>-2.1</v>
      </c>
      <c r="K767" s="1">
        <v>-6.15</v>
      </c>
      <c r="L767" s="1">
        <f t="shared" si="1"/>
        <v>-16232.97299</v>
      </c>
      <c r="M767" s="1" t="str">
        <f t="shared" si="2"/>
        <v>ON SALE</v>
      </c>
      <c r="N767" s="1">
        <f t="shared" si="3"/>
        <v>34.25302134</v>
      </c>
      <c r="O767" s="1">
        <f t="shared" si="4"/>
        <v>36.92767472</v>
      </c>
      <c r="P767" s="4">
        <f t="shared" si="5"/>
        <v>-0.01549028405</v>
      </c>
    </row>
    <row r="768" ht="15.75" customHeight="1">
      <c r="A768" s="3">
        <v>42404.0</v>
      </c>
      <c r="B768" s="1">
        <v>2016.0</v>
      </c>
      <c r="C768" s="1">
        <v>2.0</v>
      </c>
      <c r="D768" s="1" t="s">
        <v>18</v>
      </c>
      <c r="E768" s="1">
        <v>197778.1337405588</v>
      </c>
      <c r="F768" s="1">
        <v>209372.29223082794</v>
      </c>
      <c r="G768" s="1">
        <v>5759.0</v>
      </c>
      <c r="H768" s="1">
        <v>34.34</v>
      </c>
      <c r="I768" s="1">
        <v>36.36</v>
      </c>
      <c r="J768" s="1">
        <v>-2.01</v>
      </c>
      <c r="K768" s="1">
        <v>-5.86</v>
      </c>
      <c r="L768" s="1">
        <f t="shared" si="1"/>
        <v>-11594.15849</v>
      </c>
      <c r="M768" s="1" t="str">
        <f t="shared" si="2"/>
        <v>ON SALE</v>
      </c>
      <c r="N768" s="1">
        <f t="shared" si="3"/>
        <v>34.34244378</v>
      </c>
      <c r="O768" s="1">
        <f t="shared" si="4"/>
        <v>36.93160521</v>
      </c>
      <c r="P768" s="4">
        <f t="shared" si="5"/>
        <v>-0.01519174737</v>
      </c>
    </row>
    <row r="769" ht="15.75" customHeight="1">
      <c r="A769" s="3">
        <v>42405.0</v>
      </c>
      <c r="B769" s="1">
        <v>2016.0</v>
      </c>
      <c r="C769" s="1">
        <v>2.0</v>
      </c>
      <c r="D769" s="1" t="s">
        <v>18</v>
      </c>
      <c r="E769" s="1">
        <v>325749.00890694687</v>
      </c>
      <c r="F769" s="1">
        <v>345287.8114965794</v>
      </c>
      <c r="G769" s="1">
        <v>9501.0</v>
      </c>
      <c r="H769" s="1">
        <v>34.29</v>
      </c>
      <c r="I769" s="1">
        <v>36.34</v>
      </c>
      <c r="J769" s="1">
        <v>-2.06</v>
      </c>
      <c r="K769" s="1">
        <v>-6.0</v>
      </c>
      <c r="L769" s="1">
        <f t="shared" si="1"/>
        <v>-19538.80259</v>
      </c>
      <c r="M769" s="1" t="str">
        <f t="shared" si="2"/>
        <v>ON SALE</v>
      </c>
      <c r="N769" s="1">
        <f t="shared" si="3"/>
        <v>34.28576033</v>
      </c>
      <c r="O769" s="1">
        <f t="shared" si="4"/>
        <v>36.93458754</v>
      </c>
      <c r="P769" s="4">
        <f t="shared" si="5"/>
        <v>-0.01497950651</v>
      </c>
    </row>
    <row r="770" ht="15.75" customHeight="1">
      <c r="A770" s="3">
        <v>42406.0</v>
      </c>
      <c r="B770" s="1">
        <v>2016.0</v>
      </c>
      <c r="C770" s="1">
        <v>2.0</v>
      </c>
      <c r="D770" s="1" t="s">
        <v>18</v>
      </c>
      <c r="E770" s="1">
        <v>371561.97638721426</v>
      </c>
      <c r="F770" s="1">
        <v>393884.43303565035</v>
      </c>
      <c r="G770" s="1">
        <v>10840.0</v>
      </c>
      <c r="H770" s="1">
        <v>34.28</v>
      </c>
      <c r="I770" s="1">
        <v>36.34</v>
      </c>
      <c r="J770" s="1">
        <v>-2.06</v>
      </c>
      <c r="K770" s="1">
        <v>-6.01</v>
      </c>
      <c r="L770" s="1">
        <f t="shared" si="1"/>
        <v>-22322.45665</v>
      </c>
      <c r="M770" s="1" t="str">
        <f t="shared" si="2"/>
        <v>ON SALE</v>
      </c>
      <c r="N770" s="1">
        <f t="shared" si="3"/>
        <v>34.27693509</v>
      </c>
      <c r="O770" s="1">
        <f t="shared" si="4"/>
        <v>36.93969131</v>
      </c>
      <c r="P770" s="4">
        <f t="shared" si="5"/>
        <v>-0.01461434984</v>
      </c>
    </row>
    <row r="771" ht="15.75" customHeight="1">
      <c r="A771" s="3">
        <v>42407.0</v>
      </c>
      <c r="B771" s="1">
        <v>2016.0</v>
      </c>
      <c r="C771" s="1">
        <v>2.0</v>
      </c>
      <c r="D771" s="1" t="s">
        <v>18</v>
      </c>
      <c r="E771" s="1">
        <v>174581.6768458314</v>
      </c>
      <c r="F771" s="1">
        <v>185040.81733893292</v>
      </c>
      <c r="G771" s="1">
        <v>5089.0</v>
      </c>
      <c r="H771" s="1">
        <v>34.31</v>
      </c>
      <c r="I771" s="1">
        <v>36.36</v>
      </c>
      <c r="J771" s="1">
        <v>-2.06</v>
      </c>
      <c r="K771" s="1">
        <v>-5.99</v>
      </c>
      <c r="L771" s="1">
        <f t="shared" si="1"/>
        <v>-10459.14049</v>
      </c>
      <c r="M771" s="1" t="str">
        <f t="shared" si="2"/>
        <v>ON SALE</v>
      </c>
      <c r="N771" s="1">
        <f t="shared" si="3"/>
        <v>34.30569402</v>
      </c>
      <c r="O771" s="1">
        <f t="shared" si="4"/>
        <v>36.945683</v>
      </c>
      <c r="P771" s="4">
        <f t="shared" si="5"/>
        <v>-0.01418963708</v>
      </c>
    </row>
    <row r="772" ht="15.75" customHeight="1">
      <c r="A772" s="3">
        <v>42408.0</v>
      </c>
      <c r="B772" s="1">
        <v>2016.0</v>
      </c>
      <c r="C772" s="1">
        <v>2.0</v>
      </c>
      <c r="D772" s="1" t="s">
        <v>18</v>
      </c>
      <c r="E772" s="1">
        <v>208489.36941933125</v>
      </c>
      <c r="F772" s="1">
        <v>221372.8369468323</v>
      </c>
      <c r="G772" s="1">
        <v>6087.0</v>
      </c>
      <c r="H772" s="1">
        <v>34.25</v>
      </c>
      <c r="I772" s="1">
        <v>36.37</v>
      </c>
      <c r="J772" s="1">
        <v>-2.12</v>
      </c>
      <c r="K772" s="1">
        <v>-6.18</v>
      </c>
      <c r="L772" s="1">
        <f t="shared" si="1"/>
        <v>-12883.46753</v>
      </c>
      <c r="M772" s="1" t="str">
        <f t="shared" si="2"/>
        <v>ON SALE</v>
      </c>
      <c r="N772" s="1">
        <f t="shared" si="3"/>
        <v>34.25158032</v>
      </c>
      <c r="O772" s="1">
        <f t="shared" si="4"/>
        <v>36.94842128</v>
      </c>
      <c r="P772" s="4">
        <f t="shared" si="5"/>
        <v>-0.01398806878</v>
      </c>
    </row>
    <row r="773" ht="15.75" customHeight="1">
      <c r="A773" s="3">
        <v>42409.0</v>
      </c>
      <c r="B773" s="1">
        <v>2016.0</v>
      </c>
      <c r="C773" s="1">
        <v>2.0</v>
      </c>
      <c r="D773" s="1" t="s">
        <v>18</v>
      </c>
      <c r="E773" s="1">
        <v>84495.16666764012</v>
      </c>
      <c r="F773" s="1">
        <v>74682.26681809923</v>
      </c>
      <c r="G773" s="1">
        <v>2053.0</v>
      </c>
      <c r="H773" s="1">
        <v>41.16</v>
      </c>
      <c r="I773" s="1">
        <v>36.38</v>
      </c>
      <c r="J773" s="1">
        <v>4.78</v>
      </c>
      <c r="K773" s="1">
        <v>11.61</v>
      </c>
      <c r="L773" s="1">
        <f t="shared" si="1"/>
        <v>9812.89985</v>
      </c>
      <c r="M773" s="1" t="str">
        <f t="shared" si="2"/>
        <v>Regular</v>
      </c>
      <c r="N773" s="1">
        <f t="shared" si="3"/>
        <v>41.15692483</v>
      </c>
      <c r="O773" s="1">
        <f t="shared" si="4"/>
        <v>36.9516899</v>
      </c>
      <c r="P773" s="4">
        <f t="shared" si="5"/>
        <v>-0.01373503523</v>
      </c>
    </row>
    <row r="774" ht="15.75" customHeight="1">
      <c r="A774" s="3">
        <v>42410.0</v>
      </c>
      <c r="B774" s="1">
        <v>2016.0</v>
      </c>
      <c r="C774" s="1">
        <v>2.0</v>
      </c>
      <c r="D774" s="1" t="s">
        <v>18</v>
      </c>
      <c r="E774" s="1">
        <v>76661.25003017939</v>
      </c>
      <c r="F774" s="1">
        <v>66379.56360437386</v>
      </c>
      <c r="G774" s="1">
        <v>1825.0</v>
      </c>
      <c r="H774" s="1">
        <v>42.01</v>
      </c>
      <c r="I774" s="1">
        <v>36.37</v>
      </c>
      <c r="J774" s="1">
        <v>5.63</v>
      </c>
      <c r="K774" s="1">
        <v>13.41</v>
      </c>
      <c r="L774" s="1">
        <f t="shared" si="1"/>
        <v>10281.68643</v>
      </c>
      <c r="M774" s="1" t="str">
        <f t="shared" si="2"/>
        <v>Regular</v>
      </c>
      <c r="N774" s="1">
        <f t="shared" si="3"/>
        <v>42.0061644</v>
      </c>
      <c r="O774" s="1">
        <f t="shared" si="4"/>
        <v>36.95278351</v>
      </c>
      <c r="P774" s="4">
        <f t="shared" si="5"/>
        <v>-0.01401421546</v>
      </c>
    </row>
    <row r="775" ht="15.75" customHeight="1">
      <c r="A775" s="3">
        <v>42411.0</v>
      </c>
      <c r="B775" s="1">
        <v>2016.0</v>
      </c>
      <c r="C775" s="1">
        <v>2.0</v>
      </c>
      <c r="D775" s="1" t="s">
        <v>18</v>
      </c>
      <c r="E775" s="1">
        <v>64034.940459509766</v>
      </c>
      <c r="F775" s="1">
        <v>55491.33852937348</v>
      </c>
      <c r="G775" s="1">
        <v>1525.0</v>
      </c>
      <c r="H775" s="1">
        <v>41.99</v>
      </c>
      <c r="I775" s="1">
        <v>36.39</v>
      </c>
      <c r="J775" s="1">
        <v>5.6</v>
      </c>
      <c r="K775" s="1">
        <v>13.34</v>
      </c>
      <c r="L775" s="1">
        <f t="shared" si="1"/>
        <v>8543.60193</v>
      </c>
      <c r="M775" s="1" t="str">
        <f t="shared" si="2"/>
        <v>Regular</v>
      </c>
      <c r="N775" s="1">
        <f t="shared" si="3"/>
        <v>41.99012489</v>
      </c>
      <c r="O775" s="1">
        <f t="shared" si="4"/>
        <v>36.95376726</v>
      </c>
      <c r="P775" s="4">
        <f t="shared" si="5"/>
        <v>-0.01430369391</v>
      </c>
    </row>
    <row r="776" ht="15.75" customHeight="1">
      <c r="A776" s="3">
        <v>42412.0</v>
      </c>
      <c r="B776" s="1">
        <v>2016.0</v>
      </c>
      <c r="C776" s="1">
        <v>2.0</v>
      </c>
      <c r="D776" s="1" t="s">
        <v>18</v>
      </c>
      <c r="E776" s="1">
        <v>148839.97486826516</v>
      </c>
      <c r="F776" s="1">
        <v>129583.49206739766</v>
      </c>
      <c r="G776" s="1">
        <v>3542.0</v>
      </c>
      <c r="H776" s="1">
        <v>42.02</v>
      </c>
      <c r="I776" s="1">
        <v>36.58</v>
      </c>
      <c r="J776" s="1">
        <v>5.44</v>
      </c>
      <c r="K776" s="1">
        <v>12.94</v>
      </c>
      <c r="L776" s="1">
        <f t="shared" si="1"/>
        <v>19256.4828</v>
      </c>
      <c r="M776" s="1" t="str">
        <f t="shared" si="2"/>
        <v>Regular</v>
      </c>
      <c r="N776" s="1">
        <f t="shared" si="3"/>
        <v>42.02144971</v>
      </c>
      <c r="O776" s="1">
        <f t="shared" si="4"/>
        <v>36.95457002</v>
      </c>
      <c r="P776" s="4">
        <f t="shared" si="5"/>
        <v>-0.01454522274</v>
      </c>
    </row>
    <row r="777" ht="15.75" customHeight="1">
      <c r="A777" s="3">
        <v>42413.0</v>
      </c>
      <c r="B777" s="1">
        <v>2016.0</v>
      </c>
      <c r="C777" s="1">
        <v>2.0</v>
      </c>
      <c r="D777" s="1" t="s">
        <v>18</v>
      </c>
      <c r="E777" s="1">
        <v>172541.50792952394</v>
      </c>
      <c r="F777" s="1">
        <v>150538.9836831414</v>
      </c>
      <c r="G777" s="1">
        <v>4105.0</v>
      </c>
      <c r="H777" s="1">
        <v>42.03</v>
      </c>
      <c r="I777" s="1">
        <v>36.67</v>
      </c>
      <c r="J777" s="1">
        <v>5.36</v>
      </c>
      <c r="K777" s="1">
        <v>12.75</v>
      </c>
      <c r="L777" s="1">
        <f t="shared" si="1"/>
        <v>22002.52425</v>
      </c>
      <c r="M777" s="1" t="str">
        <f t="shared" si="2"/>
        <v>Regular</v>
      </c>
      <c r="N777" s="1">
        <f t="shared" si="3"/>
        <v>42.03203604</v>
      </c>
      <c r="O777" s="1">
        <f t="shared" si="4"/>
        <v>36.95579201</v>
      </c>
      <c r="P777" s="4">
        <f t="shared" si="5"/>
        <v>-0.01509425817</v>
      </c>
    </row>
    <row r="778" ht="15.75" customHeight="1">
      <c r="A778" s="3">
        <v>42414.0</v>
      </c>
      <c r="B778" s="1">
        <v>2016.0</v>
      </c>
      <c r="C778" s="1">
        <v>2.0</v>
      </c>
      <c r="D778" s="1" t="s">
        <v>18</v>
      </c>
      <c r="E778" s="1">
        <v>87991.66300211854</v>
      </c>
      <c r="F778" s="1">
        <v>76378.50463806391</v>
      </c>
      <c r="G778" s="1">
        <v>2094.0</v>
      </c>
      <c r="H778" s="1">
        <v>42.02</v>
      </c>
      <c r="I778" s="1">
        <v>36.47</v>
      </c>
      <c r="J778" s="1">
        <v>5.55</v>
      </c>
      <c r="K778" s="1">
        <v>13.2</v>
      </c>
      <c r="L778" s="1">
        <f t="shared" si="1"/>
        <v>11613.15836</v>
      </c>
      <c r="M778" s="1" t="str">
        <f t="shared" si="2"/>
        <v>Regular</v>
      </c>
      <c r="N778" s="1">
        <f t="shared" si="3"/>
        <v>42.02085148</v>
      </c>
      <c r="O778" s="1">
        <f t="shared" si="4"/>
        <v>36.95688282</v>
      </c>
      <c r="P778" s="4">
        <f t="shared" si="5"/>
        <v>-0.0157277406</v>
      </c>
    </row>
    <row r="779" ht="15.75" customHeight="1">
      <c r="A779" s="3">
        <v>42415.0</v>
      </c>
      <c r="B779" s="1">
        <v>2016.0</v>
      </c>
      <c r="C779" s="1">
        <v>2.0</v>
      </c>
      <c r="D779" s="1" t="s">
        <v>18</v>
      </c>
      <c r="E779" s="1">
        <v>123445.38155042758</v>
      </c>
      <c r="F779" s="1">
        <v>108669.22538125701</v>
      </c>
      <c r="G779" s="1">
        <v>2940.0</v>
      </c>
      <c r="H779" s="1">
        <v>41.99</v>
      </c>
      <c r="I779" s="1">
        <v>36.96</v>
      </c>
      <c r="J779" s="1">
        <v>5.03</v>
      </c>
      <c r="K779" s="1">
        <v>11.97</v>
      </c>
      <c r="L779" s="1">
        <f t="shared" si="1"/>
        <v>14776.15617</v>
      </c>
      <c r="M779" s="1" t="str">
        <f t="shared" si="2"/>
        <v>Regular</v>
      </c>
      <c r="N779" s="1">
        <f t="shared" si="3"/>
        <v>41.98822502</v>
      </c>
      <c r="O779" s="1">
        <f t="shared" si="4"/>
        <v>36.95782999</v>
      </c>
      <c r="P779" s="4">
        <f t="shared" si="5"/>
        <v>-0.01606309792</v>
      </c>
    </row>
    <row r="780" ht="15.75" customHeight="1">
      <c r="A780" s="3">
        <v>42416.0</v>
      </c>
      <c r="B780" s="1">
        <v>2016.0</v>
      </c>
      <c r="C780" s="1">
        <v>2.0</v>
      </c>
      <c r="D780" s="1" t="s">
        <v>18</v>
      </c>
      <c r="E780" s="1">
        <v>77344.6918736694</v>
      </c>
      <c r="F780" s="1">
        <v>68269.24883841071</v>
      </c>
      <c r="G780" s="1">
        <v>1841.0</v>
      </c>
      <c r="H780" s="1">
        <v>42.01</v>
      </c>
      <c r="I780" s="1">
        <v>37.08</v>
      </c>
      <c r="J780" s="1">
        <v>4.93</v>
      </c>
      <c r="K780" s="1">
        <v>11.73</v>
      </c>
      <c r="L780" s="1">
        <f t="shared" si="1"/>
        <v>9075.443035</v>
      </c>
      <c r="M780" s="1" t="str">
        <f t="shared" si="2"/>
        <v>Regular</v>
      </c>
      <c r="N780" s="1">
        <f t="shared" si="3"/>
        <v>42.01232584</v>
      </c>
      <c r="O780" s="1">
        <f t="shared" si="4"/>
        <v>36.95781756</v>
      </c>
      <c r="P780" s="4">
        <f t="shared" si="5"/>
        <v>-0.01649690623</v>
      </c>
    </row>
    <row r="781" ht="15.75" customHeight="1">
      <c r="A781" s="3">
        <v>42417.0</v>
      </c>
      <c r="B781" s="1">
        <v>2016.0</v>
      </c>
      <c r="C781" s="1">
        <v>2.0</v>
      </c>
      <c r="D781" s="1" t="s">
        <v>18</v>
      </c>
      <c r="E781" s="1">
        <v>158963.02488179517</v>
      </c>
      <c r="F781" s="1">
        <v>167521.52586053708</v>
      </c>
      <c r="G781" s="1">
        <v>4529.0</v>
      </c>
      <c r="H781" s="1">
        <v>35.1</v>
      </c>
      <c r="I781" s="1">
        <v>36.99</v>
      </c>
      <c r="J781" s="1">
        <v>-1.89</v>
      </c>
      <c r="K781" s="1">
        <v>-5.38</v>
      </c>
      <c r="L781" s="1">
        <f t="shared" si="1"/>
        <v>-8558.500979</v>
      </c>
      <c r="M781" s="1" t="str">
        <f t="shared" si="2"/>
        <v>ON SALE</v>
      </c>
      <c r="N781" s="1">
        <f t="shared" si="3"/>
        <v>35.09892358</v>
      </c>
      <c r="O781" s="1">
        <f t="shared" si="4"/>
        <v>36.95760082</v>
      </c>
      <c r="P781" s="4">
        <f t="shared" si="5"/>
        <v>-0.01676538936</v>
      </c>
    </row>
    <row r="782" ht="15.75" customHeight="1">
      <c r="A782" s="3">
        <v>42418.0</v>
      </c>
      <c r="B782" s="1">
        <v>2016.0</v>
      </c>
      <c r="C782" s="1">
        <v>2.0</v>
      </c>
      <c r="D782" s="1" t="s">
        <v>18</v>
      </c>
      <c r="E782" s="1">
        <v>69598.07115293965</v>
      </c>
      <c r="F782" s="1">
        <v>61492.9683081792</v>
      </c>
      <c r="G782" s="1">
        <v>1658.0</v>
      </c>
      <c r="H782" s="1">
        <v>41.98</v>
      </c>
      <c r="I782" s="1">
        <v>37.09</v>
      </c>
      <c r="J782" s="1">
        <v>4.89</v>
      </c>
      <c r="K782" s="1">
        <v>11.65</v>
      </c>
      <c r="L782" s="1">
        <f t="shared" si="1"/>
        <v>8105.102845</v>
      </c>
      <c r="M782" s="1" t="str">
        <f t="shared" si="2"/>
        <v>Regular</v>
      </c>
      <c r="N782" s="1">
        <f t="shared" si="3"/>
        <v>41.97712374</v>
      </c>
      <c r="O782" s="1">
        <f t="shared" si="4"/>
        <v>36.95746774</v>
      </c>
      <c r="P782" s="4">
        <f t="shared" si="5"/>
        <v>-0.0166118993</v>
      </c>
    </row>
    <row r="783" ht="15.75" customHeight="1">
      <c r="A783" s="3">
        <v>42419.0</v>
      </c>
      <c r="B783" s="1">
        <v>2016.0</v>
      </c>
      <c r="C783" s="1">
        <v>2.0</v>
      </c>
      <c r="D783" s="1" t="s">
        <v>18</v>
      </c>
      <c r="E783" s="1">
        <v>161275.60219880517</v>
      </c>
      <c r="F783" s="1">
        <v>143446.35832758574</v>
      </c>
      <c r="G783" s="1">
        <v>3841.0</v>
      </c>
      <c r="H783" s="1">
        <v>41.99</v>
      </c>
      <c r="I783" s="1">
        <v>37.35</v>
      </c>
      <c r="J783" s="1">
        <v>4.64</v>
      </c>
      <c r="K783" s="1">
        <v>11.06</v>
      </c>
      <c r="L783" s="1">
        <f t="shared" si="1"/>
        <v>17829.24387</v>
      </c>
      <c r="M783" s="1" t="str">
        <f t="shared" si="2"/>
        <v>Regular</v>
      </c>
      <c r="N783" s="1">
        <f t="shared" si="3"/>
        <v>41.98792039</v>
      </c>
      <c r="O783" s="1">
        <f t="shared" si="4"/>
        <v>36.9572615</v>
      </c>
      <c r="P783" s="4">
        <f t="shared" si="5"/>
        <v>-0.01685354025</v>
      </c>
    </row>
    <row r="784" ht="15.75" customHeight="1">
      <c r="A784" s="3">
        <v>42420.0</v>
      </c>
      <c r="B784" s="1">
        <v>2016.0</v>
      </c>
      <c r="C784" s="1">
        <v>2.0</v>
      </c>
      <c r="D784" s="1" t="s">
        <v>18</v>
      </c>
      <c r="E784" s="1">
        <v>325215.07679238246</v>
      </c>
      <c r="F784" s="1">
        <v>345446.00184870965</v>
      </c>
      <c r="G784" s="1">
        <v>9260.0</v>
      </c>
      <c r="H784" s="1">
        <v>35.12</v>
      </c>
      <c r="I784" s="1">
        <v>37.31</v>
      </c>
      <c r="J784" s="1">
        <v>-2.18</v>
      </c>
      <c r="K784" s="1">
        <v>-6.22</v>
      </c>
      <c r="L784" s="1">
        <f t="shared" si="1"/>
        <v>-20230.92506</v>
      </c>
      <c r="M784" s="1" t="str">
        <f t="shared" si="2"/>
        <v>ON SALE</v>
      </c>
      <c r="N784" s="1">
        <f t="shared" si="3"/>
        <v>35.12041866</v>
      </c>
      <c r="O784" s="1">
        <f t="shared" si="4"/>
        <v>36.95584003</v>
      </c>
      <c r="P784" s="4">
        <f t="shared" si="5"/>
        <v>-0.01739191761</v>
      </c>
    </row>
    <row r="785" ht="15.75" customHeight="1">
      <c r="A785" s="3">
        <v>42421.0</v>
      </c>
      <c r="B785" s="1">
        <v>2016.0</v>
      </c>
      <c r="C785" s="1">
        <v>2.0</v>
      </c>
      <c r="D785" s="1" t="s">
        <v>18</v>
      </c>
      <c r="E785" s="1">
        <v>96957.29584445807</v>
      </c>
      <c r="F785" s="1">
        <v>86455.49437804356</v>
      </c>
      <c r="G785" s="1">
        <v>2308.0</v>
      </c>
      <c r="H785" s="1">
        <v>42.01</v>
      </c>
      <c r="I785" s="1">
        <v>37.46</v>
      </c>
      <c r="J785" s="1">
        <v>4.55</v>
      </c>
      <c r="K785" s="1">
        <v>10.83</v>
      </c>
      <c r="L785" s="1">
        <f t="shared" si="1"/>
        <v>10501.80147</v>
      </c>
      <c r="M785" s="1" t="str">
        <f t="shared" si="2"/>
        <v>Regular</v>
      </c>
      <c r="N785" s="1">
        <f t="shared" si="3"/>
        <v>42.00922697</v>
      </c>
      <c r="O785" s="1">
        <f t="shared" si="4"/>
        <v>36.95273379</v>
      </c>
      <c r="P785" s="4">
        <f t="shared" si="5"/>
        <v>-0.01700674857</v>
      </c>
    </row>
    <row r="786" ht="15.75" customHeight="1">
      <c r="A786" s="3">
        <v>42422.0</v>
      </c>
      <c r="B786" s="1">
        <v>2016.0</v>
      </c>
      <c r="C786" s="1">
        <v>2.0</v>
      </c>
      <c r="D786" s="1" t="s">
        <v>18</v>
      </c>
      <c r="E786" s="1">
        <v>85224.4770912288</v>
      </c>
      <c r="F786" s="1">
        <v>75960.71802194037</v>
      </c>
      <c r="G786" s="1">
        <v>2028.0</v>
      </c>
      <c r="H786" s="1">
        <v>42.02</v>
      </c>
      <c r="I786" s="1">
        <v>37.46</v>
      </c>
      <c r="J786" s="1">
        <v>4.57</v>
      </c>
      <c r="K786" s="1">
        <v>10.87</v>
      </c>
      <c r="L786" s="1">
        <f t="shared" si="1"/>
        <v>9263.759069</v>
      </c>
      <c r="M786" s="1" t="str">
        <f t="shared" si="2"/>
        <v>Regular</v>
      </c>
      <c r="N786" s="1">
        <f t="shared" si="3"/>
        <v>42.02390389</v>
      </c>
      <c r="O786" s="1">
        <f t="shared" si="4"/>
        <v>36.9516092</v>
      </c>
      <c r="P786" s="4">
        <f t="shared" si="5"/>
        <v>-0.01732868121</v>
      </c>
    </row>
    <row r="787" ht="15.75" customHeight="1">
      <c r="A787" s="3">
        <v>42423.0</v>
      </c>
      <c r="B787" s="1">
        <v>2016.0</v>
      </c>
      <c r="C787" s="1">
        <v>2.0</v>
      </c>
      <c r="D787" s="1" t="s">
        <v>18</v>
      </c>
      <c r="E787" s="1">
        <v>54612.87884153988</v>
      </c>
      <c r="F787" s="1">
        <v>49071.80253789717</v>
      </c>
      <c r="G787" s="1">
        <v>1301.0</v>
      </c>
      <c r="H787" s="1">
        <v>41.98</v>
      </c>
      <c r="I787" s="1">
        <v>37.72</v>
      </c>
      <c r="J787" s="1">
        <v>4.26</v>
      </c>
      <c r="K787" s="1">
        <v>10.15</v>
      </c>
      <c r="L787" s="1">
        <f t="shared" si="1"/>
        <v>5541.076304</v>
      </c>
      <c r="M787" s="1" t="str">
        <f t="shared" si="2"/>
        <v>Regular</v>
      </c>
      <c r="N787" s="1">
        <f t="shared" si="3"/>
        <v>41.97761633</v>
      </c>
      <c r="O787" s="1">
        <f t="shared" si="4"/>
        <v>36.95062293</v>
      </c>
      <c r="P787" s="4">
        <f t="shared" si="5"/>
        <v>-0.01761389625</v>
      </c>
    </row>
    <row r="788" ht="15.75" customHeight="1">
      <c r="A788" s="3">
        <v>42424.0</v>
      </c>
      <c r="B788" s="1">
        <v>2016.0</v>
      </c>
      <c r="C788" s="1">
        <v>2.0</v>
      </c>
      <c r="D788" s="1" t="s">
        <v>18</v>
      </c>
      <c r="E788" s="1">
        <v>81530.61238232465</v>
      </c>
      <c r="F788" s="1">
        <v>81738.0564373136</v>
      </c>
      <c r="G788" s="1">
        <v>2213.0</v>
      </c>
      <c r="H788" s="1">
        <v>36.84</v>
      </c>
      <c r="I788" s="1">
        <v>36.94</v>
      </c>
      <c r="J788" s="1">
        <v>-0.09</v>
      </c>
      <c r="K788" s="1">
        <v>-0.25</v>
      </c>
      <c r="L788" s="1">
        <f t="shared" si="1"/>
        <v>-207.444055</v>
      </c>
      <c r="M788" s="1" t="str">
        <f t="shared" si="2"/>
        <v>ON SALE</v>
      </c>
      <c r="N788" s="1">
        <f t="shared" si="3"/>
        <v>36.8416685</v>
      </c>
      <c r="O788" s="1">
        <f t="shared" si="4"/>
        <v>36.94965841</v>
      </c>
      <c r="P788" s="4">
        <f t="shared" si="5"/>
        <v>-0.01778683404</v>
      </c>
    </row>
    <row r="789" ht="15.75" customHeight="1">
      <c r="A789" s="3">
        <v>42425.0</v>
      </c>
      <c r="B789" s="1">
        <v>2016.0</v>
      </c>
      <c r="C789" s="1">
        <v>2.0</v>
      </c>
      <c r="D789" s="1" t="s">
        <v>18</v>
      </c>
      <c r="E789" s="1">
        <v>160947.5326401876</v>
      </c>
      <c r="F789" s="1">
        <v>162597.49684526818</v>
      </c>
      <c r="G789" s="1">
        <v>4404.0</v>
      </c>
      <c r="H789" s="1">
        <v>36.55</v>
      </c>
      <c r="I789" s="1">
        <v>36.92</v>
      </c>
      <c r="J789" s="1">
        <v>-0.37</v>
      </c>
      <c r="K789" s="1">
        <v>-1.03</v>
      </c>
      <c r="L789" s="1">
        <f t="shared" si="1"/>
        <v>-1649.964205</v>
      </c>
      <c r="M789" s="1" t="str">
        <f t="shared" si="2"/>
        <v>ON SALE</v>
      </c>
      <c r="N789" s="1">
        <f t="shared" si="3"/>
        <v>36.54576127</v>
      </c>
      <c r="O789" s="1">
        <f t="shared" si="4"/>
        <v>36.94968892</v>
      </c>
      <c r="P789" s="4">
        <f t="shared" si="5"/>
        <v>-0.01781995426</v>
      </c>
    </row>
    <row r="790" ht="15.75" customHeight="1">
      <c r="A790" s="3">
        <v>42426.0</v>
      </c>
      <c r="B790" s="1">
        <v>2016.0</v>
      </c>
      <c r="C790" s="1">
        <v>2.0</v>
      </c>
      <c r="D790" s="1" t="s">
        <v>18</v>
      </c>
      <c r="E790" s="1">
        <v>188736.24741743514</v>
      </c>
      <c r="F790" s="1">
        <v>183103.23368799078</v>
      </c>
      <c r="G790" s="1">
        <v>4935.0</v>
      </c>
      <c r="H790" s="1">
        <v>38.24</v>
      </c>
      <c r="I790" s="1">
        <v>37.1</v>
      </c>
      <c r="J790" s="1">
        <v>1.14</v>
      </c>
      <c r="K790" s="1">
        <v>2.98</v>
      </c>
      <c r="L790" s="1">
        <f t="shared" si="1"/>
        <v>5633.013729</v>
      </c>
      <c r="M790" s="1" t="str">
        <f t="shared" si="2"/>
        <v>Regular</v>
      </c>
      <c r="N790" s="1">
        <f t="shared" si="3"/>
        <v>38.24442703</v>
      </c>
      <c r="O790" s="1">
        <f t="shared" si="4"/>
        <v>36.9498142</v>
      </c>
      <c r="P790" s="4">
        <f t="shared" si="5"/>
        <v>-0.01785255834</v>
      </c>
    </row>
    <row r="791" ht="15.75" customHeight="1">
      <c r="A791" s="3">
        <v>42427.0</v>
      </c>
      <c r="B791" s="1">
        <v>2016.0</v>
      </c>
      <c r="C791" s="1">
        <v>2.0</v>
      </c>
      <c r="D791" s="1" t="s">
        <v>18</v>
      </c>
      <c r="E791" s="1">
        <v>215951.50786707396</v>
      </c>
      <c r="F791" s="1">
        <v>210032.7880785589</v>
      </c>
      <c r="G791" s="1">
        <v>5609.0</v>
      </c>
      <c r="H791" s="1">
        <v>38.5</v>
      </c>
      <c r="I791" s="1">
        <v>37.45</v>
      </c>
      <c r="J791" s="1">
        <v>1.06</v>
      </c>
      <c r="K791" s="1">
        <v>2.74</v>
      </c>
      <c r="L791" s="1">
        <f t="shared" si="1"/>
        <v>5918.719789</v>
      </c>
      <c r="M791" s="1" t="str">
        <f t="shared" si="2"/>
        <v>Regular</v>
      </c>
      <c r="N791" s="1">
        <f t="shared" si="3"/>
        <v>38.50089283</v>
      </c>
      <c r="O791" s="1">
        <f t="shared" si="4"/>
        <v>36.94907619</v>
      </c>
      <c r="P791" s="4">
        <f t="shared" si="5"/>
        <v>-0.01809474147</v>
      </c>
    </row>
    <row r="792" ht="15.75" customHeight="1">
      <c r="A792" s="3">
        <v>42428.0</v>
      </c>
      <c r="B792" s="1">
        <v>2016.0</v>
      </c>
      <c r="C792" s="1">
        <v>2.0</v>
      </c>
      <c r="D792" s="1" t="s">
        <v>18</v>
      </c>
      <c r="E792" s="1">
        <v>134995.8544959426</v>
      </c>
      <c r="F792" s="1">
        <v>129938.7057703585</v>
      </c>
      <c r="G792" s="1">
        <v>3452.0</v>
      </c>
      <c r="H792" s="1">
        <v>39.11</v>
      </c>
      <c r="I792" s="1">
        <v>37.64</v>
      </c>
      <c r="J792" s="1">
        <v>1.46</v>
      </c>
      <c r="K792" s="1">
        <v>3.75</v>
      </c>
      <c r="L792" s="1">
        <f t="shared" si="1"/>
        <v>5057.148726</v>
      </c>
      <c r="M792" s="1" t="str">
        <f t="shared" si="2"/>
        <v>Regular</v>
      </c>
      <c r="N792" s="1">
        <f t="shared" si="3"/>
        <v>39.10656272</v>
      </c>
      <c r="O792" s="1">
        <f t="shared" si="4"/>
        <v>36.94634171</v>
      </c>
      <c r="P792" s="4">
        <f t="shared" si="5"/>
        <v>-0.01836063296</v>
      </c>
    </row>
    <row r="793" ht="15.75" customHeight="1">
      <c r="A793" s="3">
        <v>42429.0</v>
      </c>
      <c r="B793" s="1">
        <v>2016.0</v>
      </c>
      <c r="C793" s="1">
        <v>2.0</v>
      </c>
      <c r="D793" s="1" t="s">
        <v>18</v>
      </c>
      <c r="E793" s="1">
        <v>163079.3780439676</v>
      </c>
      <c r="F793" s="1">
        <v>160332.58940603075</v>
      </c>
      <c r="G793" s="1">
        <v>4270.0</v>
      </c>
      <c r="H793" s="1">
        <v>38.19</v>
      </c>
      <c r="I793" s="1">
        <v>37.55</v>
      </c>
      <c r="J793" s="1">
        <v>0.64</v>
      </c>
      <c r="K793" s="1">
        <v>1.68</v>
      </c>
      <c r="L793" s="1">
        <f t="shared" si="1"/>
        <v>2746.788638</v>
      </c>
      <c r="M793" s="1" t="str">
        <f t="shared" si="2"/>
        <v>Regular</v>
      </c>
      <c r="N793" s="1">
        <f t="shared" si="3"/>
        <v>38.19189181</v>
      </c>
      <c r="O793" s="1">
        <f t="shared" si="4"/>
        <v>36.94397765</v>
      </c>
      <c r="P793" s="4">
        <f t="shared" si="5"/>
        <v>-0.01856529174</v>
      </c>
    </row>
    <row r="794" ht="15.75" customHeight="1">
      <c r="A794" s="3">
        <v>42430.0</v>
      </c>
      <c r="B794" s="1">
        <v>2016.0</v>
      </c>
      <c r="C794" s="1">
        <v>3.0</v>
      </c>
      <c r="D794" s="1" t="s">
        <v>19</v>
      </c>
      <c r="E794" s="1">
        <v>180828.67409182637</v>
      </c>
      <c r="F794" s="1">
        <v>182962.33699647625</v>
      </c>
      <c r="G794" s="1">
        <v>4719.0</v>
      </c>
      <c r="H794" s="1">
        <v>38.32</v>
      </c>
      <c r="I794" s="1">
        <v>38.77</v>
      </c>
      <c r="J794" s="1">
        <v>-0.45</v>
      </c>
      <c r="K794" s="1">
        <v>-1.18</v>
      </c>
      <c r="L794" s="1">
        <f t="shared" si="1"/>
        <v>-2133.662905</v>
      </c>
      <c r="M794" s="1" t="str">
        <f t="shared" si="2"/>
        <v>ON SALE</v>
      </c>
      <c r="N794" s="1">
        <f t="shared" si="3"/>
        <v>38.31927826</v>
      </c>
      <c r="O794" s="1">
        <f t="shared" si="4"/>
        <v>36.9414237</v>
      </c>
      <c r="P794" s="4">
        <f t="shared" si="5"/>
        <v>-0.01872281273</v>
      </c>
    </row>
    <row r="795" ht="15.75" customHeight="1">
      <c r="A795" s="3">
        <v>42431.0</v>
      </c>
      <c r="B795" s="1">
        <v>2016.0</v>
      </c>
      <c r="C795" s="1">
        <v>3.0</v>
      </c>
      <c r="D795" s="1" t="s">
        <v>19</v>
      </c>
      <c r="E795" s="1">
        <v>171196.17519446637</v>
      </c>
      <c r="F795" s="1">
        <v>174428.68089167497</v>
      </c>
      <c r="G795" s="1">
        <v>4451.0</v>
      </c>
      <c r="H795" s="1">
        <v>38.46</v>
      </c>
      <c r="I795" s="1">
        <v>39.19</v>
      </c>
      <c r="J795" s="1">
        <v>-0.73</v>
      </c>
      <c r="K795" s="1">
        <v>-1.89</v>
      </c>
      <c r="L795" s="1">
        <f t="shared" si="1"/>
        <v>-3232.505697</v>
      </c>
      <c r="M795" s="1" t="str">
        <f t="shared" si="2"/>
        <v>ON SALE</v>
      </c>
      <c r="N795" s="1">
        <f t="shared" si="3"/>
        <v>38.46240737</v>
      </c>
      <c r="O795" s="1">
        <f t="shared" si="4"/>
        <v>36.93284105</v>
      </c>
      <c r="P795" s="4">
        <f t="shared" si="5"/>
        <v>-0.01875713443</v>
      </c>
    </row>
    <row r="796" ht="15.75" customHeight="1">
      <c r="A796" s="3">
        <v>42432.0</v>
      </c>
      <c r="B796" s="1">
        <v>2016.0</v>
      </c>
      <c r="C796" s="1">
        <v>3.0</v>
      </c>
      <c r="D796" s="1" t="s">
        <v>19</v>
      </c>
      <c r="E796" s="1">
        <v>129719.0505263338</v>
      </c>
      <c r="F796" s="1">
        <v>131961.9325082891</v>
      </c>
      <c r="G796" s="1">
        <v>3364.0</v>
      </c>
      <c r="H796" s="1">
        <v>38.56</v>
      </c>
      <c r="I796" s="1">
        <v>39.23</v>
      </c>
      <c r="J796" s="1">
        <v>-0.67</v>
      </c>
      <c r="K796" s="1">
        <v>-1.73</v>
      </c>
      <c r="L796" s="1">
        <f t="shared" si="1"/>
        <v>-2242.881982</v>
      </c>
      <c r="M796" s="1" t="str">
        <f t="shared" si="2"/>
        <v>ON SALE</v>
      </c>
      <c r="N796" s="1">
        <f t="shared" si="3"/>
        <v>38.56095438</v>
      </c>
      <c r="O796" s="1">
        <f t="shared" si="4"/>
        <v>36.92281786</v>
      </c>
      <c r="P796" s="4">
        <f t="shared" si="5"/>
        <v>-0.0187565462</v>
      </c>
    </row>
    <row r="797" ht="15.75" customHeight="1">
      <c r="A797" s="3">
        <v>42433.0</v>
      </c>
      <c r="B797" s="1">
        <v>2016.0</v>
      </c>
      <c r="C797" s="1">
        <v>3.0</v>
      </c>
      <c r="D797" s="1" t="s">
        <v>19</v>
      </c>
      <c r="E797" s="1">
        <v>142127.6420906126</v>
      </c>
      <c r="F797" s="1">
        <v>144039.41368270025</v>
      </c>
      <c r="G797" s="1">
        <v>3665.0</v>
      </c>
      <c r="H797" s="1">
        <v>38.78</v>
      </c>
      <c r="I797" s="1">
        <v>39.3</v>
      </c>
      <c r="J797" s="1">
        <v>-0.52</v>
      </c>
      <c r="K797" s="1">
        <v>-1.35</v>
      </c>
      <c r="L797" s="1">
        <f t="shared" si="1"/>
        <v>-1911.771592</v>
      </c>
      <c r="M797" s="1" t="str">
        <f t="shared" si="2"/>
        <v>ON SALE</v>
      </c>
      <c r="N797" s="1">
        <f t="shared" si="3"/>
        <v>38.77971135</v>
      </c>
      <c r="O797" s="1">
        <f t="shared" si="4"/>
        <v>36.91505165</v>
      </c>
      <c r="P797" s="4">
        <f t="shared" si="5"/>
        <v>-0.01876180378</v>
      </c>
    </row>
    <row r="798" ht="15.75" customHeight="1">
      <c r="A798" s="3">
        <v>42434.0</v>
      </c>
      <c r="B798" s="1">
        <v>2016.0</v>
      </c>
      <c r="C798" s="1">
        <v>3.0</v>
      </c>
      <c r="D798" s="1" t="s">
        <v>19</v>
      </c>
      <c r="E798" s="1">
        <v>152124.4078943276</v>
      </c>
      <c r="F798" s="1">
        <v>153377.51203867735</v>
      </c>
      <c r="G798" s="1">
        <v>3889.0</v>
      </c>
      <c r="H798" s="1">
        <v>39.12</v>
      </c>
      <c r="I798" s="1">
        <v>39.44</v>
      </c>
      <c r="J798" s="1">
        <v>-0.32</v>
      </c>
      <c r="K798" s="1">
        <v>-0.82</v>
      </c>
      <c r="L798" s="1">
        <f t="shared" si="1"/>
        <v>-1253.104144</v>
      </c>
      <c r="M798" s="1" t="str">
        <f t="shared" si="2"/>
        <v>ON SALE</v>
      </c>
      <c r="N798" s="1">
        <f t="shared" si="3"/>
        <v>39.11658727</v>
      </c>
      <c r="O798" s="1">
        <f t="shared" si="4"/>
        <v>36.90625937</v>
      </c>
      <c r="P798" s="4">
        <f t="shared" si="5"/>
        <v>-0.01878275057</v>
      </c>
    </row>
    <row r="799" ht="15.75" customHeight="1">
      <c r="A799" s="3">
        <v>42435.0</v>
      </c>
      <c r="B799" s="1">
        <v>2016.0</v>
      </c>
      <c r="C799" s="1">
        <v>3.0</v>
      </c>
      <c r="D799" s="1" t="s">
        <v>19</v>
      </c>
      <c r="E799" s="1">
        <v>74132.78702307428</v>
      </c>
      <c r="F799" s="1">
        <v>74332.27948422423</v>
      </c>
      <c r="G799" s="1">
        <v>1882.0</v>
      </c>
      <c r="H799" s="1">
        <v>39.39</v>
      </c>
      <c r="I799" s="1">
        <v>39.5</v>
      </c>
      <c r="J799" s="1">
        <v>-0.11</v>
      </c>
      <c r="K799" s="1">
        <v>-0.27</v>
      </c>
      <c r="L799" s="1">
        <f t="shared" si="1"/>
        <v>-199.4924611</v>
      </c>
      <c r="M799" s="1" t="str">
        <f t="shared" si="2"/>
        <v>ON SALE</v>
      </c>
      <c r="N799" s="1">
        <f t="shared" si="3"/>
        <v>39.39042881</v>
      </c>
      <c r="O799" s="1">
        <f t="shared" si="4"/>
        <v>36.89631904</v>
      </c>
      <c r="P799" s="4">
        <f t="shared" si="5"/>
        <v>-0.01882745851</v>
      </c>
    </row>
    <row r="800" ht="15.75" customHeight="1">
      <c r="A800" s="3">
        <v>42436.0</v>
      </c>
      <c r="B800" s="1">
        <v>2016.0</v>
      </c>
      <c r="C800" s="1">
        <v>3.0</v>
      </c>
      <c r="D800" s="1" t="s">
        <v>19</v>
      </c>
      <c r="E800" s="1">
        <v>91143.02860770928</v>
      </c>
      <c r="F800" s="1">
        <v>95167.52873204894</v>
      </c>
      <c r="G800" s="1">
        <v>2405.0</v>
      </c>
      <c r="H800" s="1">
        <v>37.9</v>
      </c>
      <c r="I800" s="1">
        <v>39.57</v>
      </c>
      <c r="J800" s="1">
        <v>-1.67</v>
      </c>
      <c r="K800" s="1">
        <v>-4.42</v>
      </c>
      <c r="L800" s="1">
        <f t="shared" si="1"/>
        <v>-4024.500124</v>
      </c>
      <c r="M800" s="1" t="str">
        <f t="shared" si="2"/>
        <v>ON SALE</v>
      </c>
      <c r="N800" s="1">
        <f t="shared" si="3"/>
        <v>37.89730919</v>
      </c>
      <c r="O800" s="1">
        <f t="shared" si="4"/>
        <v>36.89137089</v>
      </c>
      <c r="P800" s="4">
        <f t="shared" si="5"/>
        <v>-0.01886086567</v>
      </c>
    </row>
    <row r="801" ht="15.75" customHeight="1">
      <c r="A801" s="3">
        <v>42437.0</v>
      </c>
      <c r="B801" s="1">
        <v>2016.0</v>
      </c>
      <c r="C801" s="1">
        <v>3.0</v>
      </c>
      <c r="D801" s="1" t="s">
        <v>19</v>
      </c>
      <c r="E801" s="1">
        <v>60528.093358145</v>
      </c>
      <c r="F801" s="1">
        <v>62342.881166359926</v>
      </c>
      <c r="G801" s="1">
        <v>1577.0</v>
      </c>
      <c r="H801" s="1">
        <v>38.38</v>
      </c>
      <c r="I801" s="1">
        <v>39.53</v>
      </c>
      <c r="J801" s="1">
        <v>-1.15</v>
      </c>
      <c r="K801" s="1">
        <v>-3.0</v>
      </c>
      <c r="L801" s="1">
        <f t="shared" si="1"/>
        <v>-1814.787808</v>
      </c>
      <c r="M801" s="1" t="str">
        <f t="shared" si="2"/>
        <v>ON SALE</v>
      </c>
      <c r="N801" s="1">
        <f t="shared" si="3"/>
        <v>38.38179668</v>
      </c>
      <c r="O801" s="1">
        <f t="shared" si="4"/>
        <v>36.88483914</v>
      </c>
      <c r="P801" s="4">
        <f t="shared" si="5"/>
        <v>-0.01879631711</v>
      </c>
    </row>
    <row r="802" ht="15.75" customHeight="1">
      <c r="A802" s="3">
        <v>42438.0</v>
      </c>
      <c r="B802" s="1">
        <v>2016.0</v>
      </c>
      <c r="C802" s="1">
        <v>3.0</v>
      </c>
      <c r="D802" s="1" t="s">
        <v>19</v>
      </c>
      <c r="E802" s="1">
        <v>38340.599611080244</v>
      </c>
      <c r="F802" s="1">
        <v>35918.3351533292</v>
      </c>
      <c r="G802" s="1">
        <v>913.0</v>
      </c>
      <c r="H802" s="1">
        <v>41.99</v>
      </c>
      <c r="I802" s="1">
        <v>39.34</v>
      </c>
      <c r="J802" s="1">
        <v>2.65</v>
      </c>
      <c r="K802" s="1">
        <v>6.32</v>
      </c>
      <c r="L802" s="1">
        <f t="shared" si="1"/>
        <v>2422.264458</v>
      </c>
      <c r="M802" s="1" t="str">
        <f t="shared" si="2"/>
        <v>Regular</v>
      </c>
      <c r="N802" s="1">
        <f t="shared" si="3"/>
        <v>41.99408501</v>
      </c>
      <c r="O802" s="1">
        <f t="shared" si="4"/>
        <v>36.88059987</v>
      </c>
      <c r="P802" s="4">
        <f t="shared" si="5"/>
        <v>-0.01877732792</v>
      </c>
    </row>
    <row r="803" ht="15.75" customHeight="1">
      <c r="A803" s="3">
        <v>42439.0</v>
      </c>
      <c r="B803" s="1">
        <v>2016.0</v>
      </c>
      <c r="C803" s="1">
        <v>3.0</v>
      </c>
      <c r="D803" s="1" t="s">
        <v>19</v>
      </c>
      <c r="E803" s="1">
        <v>37453.006182510246</v>
      </c>
      <c r="F803" s="1">
        <v>35108.20010653677</v>
      </c>
      <c r="G803" s="1">
        <v>892.0</v>
      </c>
      <c r="H803" s="1">
        <v>41.99</v>
      </c>
      <c r="I803" s="1">
        <v>39.36</v>
      </c>
      <c r="J803" s="1">
        <v>2.63</v>
      </c>
      <c r="K803" s="1">
        <v>6.26</v>
      </c>
      <c r="L803" s="1">
        <f t="shared" si="1"/>
        <v>2344.806076</v>
      </c>
      <c r="M803" s="1" t="str">
        <f t="shared" si="2"/>
        <v>Regular</v>
      </c>
      <c r="N803" s="1">
        <f t="shared" si="3"/>
        <v>41.98767509</v>
      </c>
      <c r="O803" s="1">
        <f t="shared" si="4"/>
        <v>36.87831709</v>
      </c>
      <c r="P803" s="4">
        <f t="shared" si="5"/>
        <v>-0.01886554765</v>
      </c>
    </row>
    <row r="804" ht="15.75" customHeight="1">
      <c r="A804" s="3">
        <v>42440.0</v>
      </c>
      <c r="B804" s="1">
        <v>2016.0</v>
      </c>
      <c r="C804" s="1">
        <v>3.0</v>
      </c>
      <c r="D804" s="1" t="s">
        <v>19</v>
      </c>
      <c r="E804" s="1">
        <v>77997.04501286939</v>
      </c>
      <c r="F804" s="1">
        <v>73051.67554254536</v>
      </c>
      <c r="G804" s="1">
        <v>1855.0</v>
      </c>
      <c r="H804" s="1">
        <v>42.05</v>
      </c>
      <c r="I804" s="1">
        <v>39.38</v>
      </c>
      <c r="J804" s="1">
        <v>2.67</v>
      </c>
      <c r="K804" s="1">
        <v>6.34</v>
      </c>
      <c r="L804" s="1">
        <f t="shared" si="1"/>
        <v>4945.36947</v>
      </c>
      <c r="M804" s="1" t="str">
        <f t="shared" si="2"/>
        <v>Regular</v>
      </c>
      <c r="N804" s="1">
        <f t="shared" si="3"/>
        <v>42.04692454</v>
      </c>
      <c r="O804" s="1">
        <f t="shared" si="4"/>
        <v>36.87606643</v>
      </c>
      <c r="P804" s="4">
        <f t="shared" si="5"/>
        <v>-0.0189513077</v>
      </c>
    </row>
    <row r="805" ht="15.75" customHeight="1">
      <c r="A805" s="3">
        <v>42441.0</v>
      </c>
      <c r="B805" s="1">
        <v>2016.0</v>
      </c>
      <c r="C805" s="1">
        <v>3.0</v>
      </c>
      <c r="D805" s="1" t="s">
        <v>19</v>
      </c>
      <c r="E805" s="1">
        <v>79752.28267802928</v>
      </c>
      <c r="F805" s="1">
        <v>74962.81639703603</v>
      </c>
      <c r="G805" s="1">
        <v>1897.0</v>
      </c>
      <c r="H805" s="1">
        <v>42.04</v>
      </c>
      <c r="I805" s="1">
        <v>39.52</v>
      </c>
      <c r="J805" s="1">
        <v>2.52</v>
      </c>
      <c r="K805" s="1">
        <v>6.01</v>
      </c>
      <c r="L805" s="1">
        <f t="shared" si="1"/>
        <v>4789.466281</v>
      </c>
      <c r="M805" s="1" t="str">
        <f t="shared" si="2"/>
        <v>Regular</v>
      </c>
      <c r="N805" s="1">
        <f t="shared" si="3"/>
        <v>42.04126657</v>
      </c>
      <c r="O805" s="1">
        <f t="shared" si="4"/>
        <v>36.87133129</v>
      </c>
      <c r="P805" s="4">
        <f t="shared" si="5"/>
        <v>-0.0191322395</v>
      </c>
    </row>
    <row r="806" ht="15.75" customHeight="1">
      <c r="A806" s="3">
        <v>42442.0</v>
      </c>
      <c r="B806" s="1">
        <v>2016.0</v>
      </c>
      <c r="C806" s="1">
        <v>3.0</v>
      </c>
      <c r="D806" s="1" t="s">
        <v>19</v>
      </c>
      <c r="E806" s="1">
        <v>37155.58848456025</v>
      </c>
      <c r="F806" s="1">
        <v>34962.83050418418</v>
      </c>
      <c r="G806" s="1">
        <v>883.0</v>
      </c>
      <c r="H806" s="1">
        <v>42.08</v>
      </c>
      <c r="I806" s="1">
        <v>39.6</v>
      </c>
      <c r="J806" s="1">
        <v>2.48</v>
      </c>
      <c r="K806" s="1">
        <v>5.9</v>
      </c>
      <c r="L806" s="1">
        <f t="shared" si="1"/>
        <v>2192.75798</v>
      </c>
      <c r="M806" s="1" t="str">
        <f t="shared" si="2"/>
        <v>Regular</v>
      </c>
      <c r="N806" s="1">
        <f t="shared" si="3"/>
        <v>42.07880916</v>
      </c>
      <c r="O806" s="1">
        <f t="shared" si="4"/>
        <v>36.86620783</v>
      </c>
      <c r="P806" s="4">
        <f t="shared" si="5"/>
        <v>-0.01931052385</v>
      </c>
    </row>
    <row r="807" ht="15.75" customHeight="1">
      <c r="A807" s="3">
        <v>42443.0</v>
      </c>
      <c r="B807" s="1">
        <v>2016.0</v>
      </c>
      <c r="C807" s="1">
        <v>3.0</v>
      </c>
      <c r="D807" s="1" t="s">
        <v>19</v>
      </c>
      <c r="E807" s="1">
        <v>45046.51321443024</v>
      </c>
      <c r="F807" s="1">
        <v>42368.045353504094</v>
      </c>
      <c r="G807" s="1">
        <v>1071.0</v>
      </c>
      <c r="H807" s="1">
        <v>42.06</v>
      </c>
      <c r="I807" s="1">
        <v>39.56</v>
      </c>
      <c r="J807" s="1">
        <v>2.5</v>
      </c>
      <c r="K807" s="1">
        <v>5.95</v>
      </c>
      <c r="L807" s="1">
        <f t="shared" si="1"/>
        <v>2678.467861</v>
      </c>
      <c r="M807" s="1" t="str">
        <f t="shared" si="2"/>
        <v>Regular</v>
      </c>
      <c r="N807" s="1">
        <f t="shared" si="3"/>
        <v>42.06023643</v>
      </c>
      <c r="O807" s="1">
        <f t="shared" si="4"/>
        <v>36.86374495</v>
      </c>
      <c r="P807" s="4">
        <f t="shared" si="5"/>
        <v>-0.01939276804</v>
      </c>
    </row>
    <row r="808" ht="15.75" customHeight="1">
      <c r="A808" s="3">
        <v>42444.0</v>
      </c>
      <c r="B808" s="1">
        <v>2016.0</v>
      </c>
      <c r="C808" s="1">
        <v>3.0</v>
      </c>
      <c r="D808" s="1" t="s">
        <v>19</v>
      </c>
      <c r="E808" s="1">
        <v>55489.33275780024</v>
      </c>
      <c r="F808" s="1">
        <v>52263.05698822664</v>
      </c>
      <c r="G808" s="1">
        <v>1320.0</v>
      </c>
      <c r="H808" s="1">
        <v>42.04</v>
      </c>
      <c r="I808" s="1">
        <v>39.59</v>
      </c>
      <c r="J808" s="1">
        <v>2.44</v>
      </c>
      <c r="K808" s="1">
        <v>5.81</v>
      </c>
      <c r="L808" s="1">
        <f t="shared" si="1"/>
        <v>3226.27577</v>
      </c>
      <c r="M808" s="1" t="str">
        <f t="shared" si="2"/>
        <v>Regular</v>
      </c>
      <c r="N808" s="1">
        <f t="shared" si="3"/>
        <v>42.0373733</v>
      </c>
      <c r="O808" s="1">
        <f t="shared" si="4"/>
        <v>36.86079135</v>
      </c>
      <c r="P808" s="4">
        <f t="shared" si="5"/>
        <v>-0.01949327733</v>
      </c>
    </row>
    <row r="809" ht="15.75" customHeight="1">
      <c r="A809" s="3">
        <v>42445.0</v>
      </c>
      <c r="B809" s="1">
        <v>2016.0</v>
      </c>
      <c r="C809" s="1">
        <v>3.0</v>
      </c>
      <c r="D809" s="1" t="s">
        <v>19</v>
      </c>
      <c r="E809" s="1">
        <v>41893.30315800024</v>
      </c>
      <c r="F809" s="1">
        <v>39495.45590150327</v>
      </c>
      <c r="G809" s="1">
        <v>997.0</v>
      </c>
      <c r="H809" s="1">
        <v>42.02</v>
      </c>
      <c r="I809" s="1">
        <v>39.61</v>
      </c>
      <c r="J809" s="1">
        <v>2.41</v>
      </c>
      <c r="K809" s="1">
        <v>5.72</v>
      </c>
      <c r="L809" s="1">
        <f t="shared" si="1"/>
        <v>2397.847256</v>
      </c>
      <c r="M809" s="1" t="str">
        <f t="shared" si="2"/>
        <v>Regular</v>
      </c>
      <c r="N809" s="1">
        <f t="shared" si="3"/>
        <v>42.01936124</v>
      </c>
      <c r="O809" s="1">
        <f t="shared" si="4"/>
        <v>36.85709632</v>
      </c>
      <c r="P809" s="4">
        <f t="shared" si="5"/>
        <v>-0.01961536741</v>
      </c>
    </row>
    <row r="810" ht="15.75" customHeight="1">
      <c r="A810" s="3">
        <v>42446.0</v>
      </c>
      <c r="B810" s="1">
        <v>2016.0</v>
      </c>
      <c r="C810" s="1">
        <v>3.0</v>
      </c>
      <c r="D810" s="1" t="s">
        <v>19</v>
      </c>
      <c r="E810" s="1">
        <v>34348.504189710126</v>
      </c>
      <c r="F810" s="1">
        <v>32292.83760206842</v>
      </c>
      <c r="G810" s="1">
        <v>817.0</v>
      </c>
      <c r="H810" s="1">
        <v>42.04</v>
      </c>
      <c r="I810" s="1">
        <v>39.53</v>
      </c>
      <c r="J810" s="1">
        <v>2.52</v>
      </c>
      <c r="K810" s="1">
        <v>5.98</v>
      </c>
      <c r="L810" s="1">
        <f t="shared" si="1"/>
        <v>2055.666588</v>
      </c>
      <c r="M810" s="1" t="str">
        <f t="shared" si="2"/>
        <v>Regular</v>
      </c>
      <c r="N810" s="1">
        <f t="shared" si="3"/>
        <v>42.04223279</v>
      </c>
      <c r="O810" s="1">
        <f t="shared" si="4"/>
        <v>36.85427727</v>
      </c>
      <c r="P810" s="4">
        <f t="shared" si="5"/>
        <v>-0.01970672152</v>
      </c>
    </row>
    <row r="811" ht="15.75" customHeight="1">
      <c r="A811" s="3">
        <v>42447.0</v>
      </c>
      <c r="B811" s="1">
        <v>2016.0</v>
      </c>
      <c r="C811" s="1">
        <v>3.0</v>
      </c>
      <c r="D811" s="1" t="s">
        <v>19</v>
      </c>
      <c r="E811" s="1">
        <v>78276.83121693452</v>
      </c>
      <c r="F811" s="1">
        <v>73746.75871153858</v>
      </c>
      <c r="G811" s="1">
        <v>1866.0</v>
      </c>
      <c r="H811" s="1">
        <v>41.95</v>
      </c>
      <c r="I811" s="1">
        <v>39.52</v>
      </c>
      <c r="J811" s="1">
        <v>2.43</v>
      </c>
      <c r="K811" s="1">
        <v>5.79</v>
      </c>
      <c r="L811" s="1">
        <f t="shared" si="1"/>
        <v>4530.072505</v>
      </c>
      <c r="M811" s="1" t="str">
        <f t="shared" si="2"/>
        <v>Regular</v>
      </c>
      <c r="N811" s="1">
        <f t="shared" si="3"/>
        <v>41.94899851</v>
      </c>
      <c r="O811" s="1">
        <f t="shared" si="4"/>
        <v>36.85203682</v>
      </c>
      <c r="P811" s="4">
        <f t="shared" si="5"/>
        <v>-0.01978433191</v>
      </c>
    </row>
    <row r="812" ht="15.75" customHeight="1">
      <c r="A812" s="3">
        <v>42448.0</v>
      </c>
      <c r="B812" s="1">
        <v>2016.0</v>
      </c>
      <c r="C812" s="1">
        <v>3.0</v>
      </c>
      <c r="D812" s="1" t="s">
        <v>19</v>
      </c>
      <c r="E812" s="1">
        <v>92851.40266007879</v>
      </c>
      <c r="F812" s="1">
        <v>87451.56617578123</v>
      </c>
      <c r="G812" s="1">
        <v>2211.0</v>
      </c>
      <c r="H812" s="1">
        <v>42.0</v>
      </c>
      <c r="I812" s="1">
        <v>39.55</v>
      </c>
      <c r="J812" s="1">
        <v>2.44</v>
      </c>
      <c r="K812" s="1">
        <v>5.82</v>
      </c>
      <c r="L812" s="1">
        <f t="shared" si="1"/>
        <v>5399.836484</v>
      </c>
      <c r="M812" s="1" t="str">
        <f t="shared" si="2"/>
        <v>Regular</v>
      </c>
      <c r="N812" s="1">
        <f t="shared" si="3"/>
        <v>41.99520699</v>
      </c>
      <c r="O812" s="1">
        <f t="shared" si="4"/>
        <v>36.84691482</v>
      </c>
      <c r="P812" s="4">
        <f t="shared" si="5"/>
        <v>-0.01995736491</v>
      </c>
    </row>
    <row r="813" ht="15.75" customHeight="1">
      <c r="A813" s="3">
        <v>42449.0</v>
      </c>
      <c r="B813" s="1">
        <v>2016.0</v>
      </c>
      <c r="C813" s="1">
        <v>3.0</v>
      </c>
      <c r="D813" s="1" t="s">
        <v>19</v>
      </c>
      <c r="E813" s="1">
        <v>54845.78929827025</v>
      </c>
      <c r="F813" s="1">
        <v>51625.51171778529</v>
      </c>
      <c r="G813" s="1">
        <v>1304.0</v>
      </c>
      <c r="H813" s="1">
        <v>42.06</v>
      </c>
      <c r="I813" s="1">
        <v>39.59</v>
      </c>
      <c r="J813" s="1">
        <v>2.47</v>
      </c>
      <c r="K813" s="1">
        <v>5.87</v>
      </c>
      <c r="L813" s="1">
        <f t="shared" si="1"/>
        <v>3220.27758</v>
      </c>
      <c r="M813" s="1" t="str">
        <f t="shared" si="2"/>
        <v>Regular</v>
      </c>
      <c r="N813" s="1">
        <f t="shared" si="3"/>
        <v>42.05965437</v>
      </c>
      <c r="O813" s="1">
        <f t="shared" si="4"/>
        <v>36.84074822</v>
      </c>
      <c r="P813" s="4">
        <f t="shared" si="5"/>
        <v>-0.02016436842</v>
      </c>
    </row>
    <row r="814" ht="15.75" customHeight="1">
      <c r="A814" s="3">
        <v>42450.0</v>
      </c>
      <c r="B814" s="1">
        <v>2016.0</v>
      </c>
      <c r="C814" s="1">
        <v>3.0</v>
      </c>
      <c r="D814" s="1" t="s">
        <v>19</v>
      </c>
      <c r="E814" s="1">
        <v>48037.79990238025</v>
      </c>
      <c r="F814" s="1">
        <v>45187.64157572069</v>
      </c>
      <c r="G814" s="1">
        <v>1143.0</v>
      </c>
      <c r="H814" s="1">
        <v>42.03</v>
      </c>
      <c r="I814" s="1">
        <v>39.53</v>
      </c>
      <c r="J814" s="1">
        <v>2.49</v>
      </c>
      <c r="K814" s="1">
        <v>5.93</v>
      </c>
      <c r="L814" s="1">
        <f t="shared" si="1"/>
        <v>2850.158327</v>
      </c>
      <c r="M814" s="1" t="str">
        <f t="shared" si="2"/>
        <v>Regular</v>
      </c>
      <c r="N814" s="1">
        <f t="shared" si="3"/>
        <v>42.02782144</v>
      </c>
      <c r="O814" s="1">
        <f t="shared" si="4"/>
        <v>36.83704808</v>
      </c>
      <c r="P814" s="4">
        <f t="shared" si="5"/>
        <v>-0.02028803531</v>
      </c>
    </row>
    <row r="815" ht="15.75" customHeight="1">
      <c r="A815" s="3">
        <v>42451.0</v>
      </c>
      <c r="B815" s="1">
        <v>2016.0</v>
      </c>
      <c r="C815" s="1">
        <v>3.0</v>
      </c>
      <c r="D815" s="1" t="s">
        <v>19</v>
      </c>
      <c r="E815" s="1">
        <v>65905.72326216001</v>
      </c>
      <c r="F815" s="1">
        <v>62023.88129770006</v>
      </c>
      <c r="G815" s="1">
        <v>1573.0</v>
      </c>
      <c r="H815" s="1">
        <v>41.9</v>
      </c>
      <c r="I815" s="1">
        <v>39.43</v>
      </c>
      <c r="J815" s="1">
        <v>2.47</v>
      </c>
      <c r="K815" s="1">
        <v>5.89</v>
      </c>
      <c r="L815" s="1">
        <f t="shared" si="1"/>
        <v>3881.841964</v>
      </c>
      <c r="M815" s="1" t="str">
        <f t="shared" si="2"/>
        <v>Regular</v>
      </c>
      <c r="N815" s="1">
        <f t="shared" si="3"/>
        <v>41.8981076</v>
      </c>
      <c r="O815" s="1">
        <f t="shared" si="4"/>
        <v>36.83386256</v>
      </c>
      <c r="P815" s="4">
        <f t="shared" si="5"/>
        <v>-0.02039751813</v>
      </c>
    </row>
    <row r="816" ht="15.75" customHeight="1">
      <c r="A816" s="3">
        <v>42452.0</v>
      </c>
      <c r="B816" s="1">
        <v>2016.0</v>
      </c>
      <c r="C816" s="1">
        <v>3.0</v>
      </c>
      <c r="D816" s="1" t="s">
        <v>19</v>
      </c>
      <c r="E816" s="1">
        <v>84870.05130086976</v>
      </c>
      <c r="F816" s="1">
        <v>81472.82717598933</v>
      </c>
      <c r="G816" s="1">
        <v>2065.0</v>
      </c>
      <c r="H816" s="1">
        <v>41.1</v>
      </c>
      <c r="I816" s="1">
        <v>39.45</v>
      </c>
      <c r="J816" s="1">
        <v>1.65</v>
      </c>
      <c r="K816" s="1">
        <v>4.0</v>
      </c>
      <c r="L816" s="1">
        <f t="shared" si="1"/>
        <v>3397.224125</v>
      </c>
      <c r="M816" s="1" t="str">
        <f t="shared" si="2"/>
        <v>Regular</v>
      </c>
      <c r="N816" s="1">
        <f t="shared" si="3"/>
        <v>41.09929845</v>
      </c>
      <c r="O816" s="1">
        <f t="shared" si="4"/>
        <v>36.82963553</v>
      </c>
      <c r="P816" s="4">
        <f t="shared" si="5"/>
        <v>-0.02054739864</v>
      </c>
    </row>
    <row r="817" ht="15.75" customHeight="1">
      <c r="A817" s="3">
        <v>42453.0</v>
      </c>
      <c r="B817" s="1">
        <v>2016.0</v>
      </c>
      <c r="C817" s="1">
        <v>3.0</v>
      </c>
      <c r="D817" s="1" t="s">
        <v>19</v>
      </c>
      <c r="E817" s="1">
        <v>262459.5056813039</v>
      </c>
      <c r="F817" s="1">
        <v>259298.45661843685</v>
      </c>
      <c r="G817" s="1">
        <v>6588.0</v>
      </c>
      <c r="H817" s="1">
        <v>39.84</v>
      </c>
      <c r="I817" s="1">
        <v>39.36</v>
      </c>
      <c r="J817" s="1">
        <v>0.48</v>
      </c>
      <c r="K817" s="1">
        <v>1.2</v>
      </c>
      <c r="L817" s="1">
        <f t="shared" si="1"/>
        <v>3161.049063</v>
      </c>
      <c r="M817" s="1" t="str">
        <f t="shared" si="2"/>
        <v>Regular</v>
      </c>
      <c r="N817" s="1">
        <f t="shared" si="3"/>
        <v>39.83902636</v>
      </c>
      <c r="O817" s="1">
        <f t="shared" si="4"/>
        <v>36.82401437</v>
      </c>
      <c r="P817" s="4">
        <f t="shared" si="5"/>
        <v>-0.02069519912</v>
      </c>
    </row>
    <row r="818" ht="15.75" customHeight="1">
      <c r="A818" s="3">
        <v>42454.0</v>
      </c>
      <c r="B818" s="1">
        <v>2016.0</v>
      </c>
      <c r="C818" s="1">
        <v>3.0</v>
      </c>
      <c r="D818" s="1" t="s">
        <v>19</v>
      </c>
      <c r="E818" s="1">
        <v>228124.39802927393</v>
      </c>
      <c r="F818" s="1">
        <v>222208.35038080392</v>
      </c>
      <c r="G818" s="1">
        <v>5652.0</v>
      </c>
      <c r="H818" s="1">
        <v>40.36</v>
      </c>
      <c r="I818" s="1">
        <v>39.31</v>
      </c>
      <c r="J818" s="1">
        <v>1.05</v>
      </c>
      <c r="K818" s="1">
        <v>2.59</v>
      </c>
      <c r="L818" s="1">
        <f t="shared" si="1"/>
        <v>5916.047648</v>
      </c>
      <c r="M818" s="1" t="str">
        <f t="shared" si="2"/>
        <v>Regular</v>
      </c>
      <c r="N818" s="1">
        <f t="shared" si="3"/>
        <v>40.36171232</v>
      </c>
      <c r="O818" s="1">
        <f t="shared" si="4"/>
        <v>36.80657228</v>
      </c>
      <c r="P818" s="4">
        <f t="shared" si="5"/>
        <v>-0.02094410794</v>
      </c>
    </row>
    <row r="819" ht="15.75" customHeight="1">
      <c r="A819" s="3">
        <v>42455.0</v>
      </c>
      <c r="B819" s="1">
        <v>2016.0</v>
      </c>
      <c r="C819" s="1">
        <v>3.0</v>
      </c>
      <c r="D819" s="1" t="s">
        <v>19</v>
      </c>
      <c r="E819" s="1">
        <v>162929.49214412636</v>
      </c>
      <c r="F819" s="1">
        <v>161434.81509850454</v>
      </c>
      <c r="G819" s="1">
        <v>4103.0</v>
      </c>
      <c r="H819" s="1">
        <v>39.71</v>
      </c>
      <c r="I819" s="1">
        <v>39.35</v>
      </c>
      <c r="J819" s="1">
        <v>0.36</v>
      </c>
      <c r="K819" s="1">
        <v>0.92</v>
      </c>
      <c r="L819" s="1">
        <f t="shared" si="1"/>
        <v>1494.677046</v>
      </c>
      <c r="M819" s="1" t="str">
        <f t="shared" si="2"/>
        <v>Regular</v>
      </c>
      <c r="N819" s="1">
        <f t="shared" si="3"/>
        <v>39.70984454</v>
      </c>
      <c r="O819" s="1">
        <f t="shared" si="4"/>
        <v>36.7916784</v>
      </c>
      <c r="P819" s="4">
        <f t="shared" si="5"/>
        <v>-0.02125594415</v>
      </c>
    </row>
    <row r="820" ht="15.75" customHeight="1">
      <c r="A820" s="3">
        <v>42456.0</v>
      </c>
      <c r="B820" s="1">
        <v>2016.0</v>
      </c>
      <c r="C820" s="1">
        <v>3.0</v>
      </c>
      <c r="D820" s="1" t="s">
        <v>19</v>
      </c>
      <c r="E820" s="1">
        <v>58359.83218482013</v>
      </c>
      <c r="F820" s="1">
        <v>57681.56988493392</v>
      </c>
      <c r="G820" s="1">
        <v>1466.0</v>
      </c>
      <c r="H820" s="1">
        <v>39.81</v>
      </c>
      <c r="I820" s="1">
        <v>39.35</v>
      </c>
      <c r="J820" s="1">
        <v>0.46</v>
      </c>
      <c r="K820" s="1">
        <v>1.16</v>
      </c>
      <c r="L820" s="1">
        <f t="shared" si="1"/>
        <v>678.2622999</v>
      </c>
      <c r="M820" s="1" t="str">
        <f t="shared" si="2"/>
        <v>Regular</v>
      </c>
      <c r="N820" s="1">
        <f t="shared" si="3"/>
        <v>39.80888962</v>
      </c>
      <c r="O820" s="1">
        <f t="shared" si="4"/>
        <v>36.78062279</v>
      </c>
      <c r="P820" s="4">
        <f t="shared" si="5"/>
        <v>-0.02140120741</v>
      </c>
    </row>
    <row r="821" ht="15.75" customHeight="1">
      <c r="A821" s="3">
        <v>42457.0</v>
      </c>
      <c r="B821" s="1">
        <v>2016.0</v>
      </c>
      <c r="C821" s="1">
        <v>3.0</v>
      </c>
      <c r="D821" s="1" t="s">
        <v>19</v>
      </c>
      <c r="E821" s="1">
        <v>85605.33192059916</v>
      </c>
      <c r="F821" s="1">
        <v>85022.38092018059</v>
      </c>
      <c r="G821" s="1">
        <v>2162.0</v>
      </c>
      <c r="H821" s="1">
        <v>39.6</v>
      </c>
      <c r="I821" s="1">
        <v>39.33</v>
      </c>
      <c r="J821" s="1">
        <v>0.27</v>
      </c>
      <c r="K821" s="1">
        <v>0.68</v>
      </c>
      <c r="L821" s="1">
        <f t="shared" si="1"/>
        <v>582.9510004</v>
      </c>
      <c r="M821" s="1" t="str">
        <f t="shared" si="2"/>
        <v>Regular</v>
      </c>
      <c r="N821" s="1">
        <f t="shared" si="3"/>
        <v>39.59543567</v>
      </c>
      <c r="O821" s="1">
        <f t="shared" si="4"/>
        <v>36.77664834</v>
      </c>
      <c r="P821" s="4">
        <f t="shared" si="5"/>
        <v>-0.02145777085</v>
      </c>
    </row>
    <row r="822" ht="15.75" customHeight="1">
      <c r="A822" s="3">
        <v>42458.0</v>
      </c>
      <c r="B822" s="1">
        <v>2016.0</v>
      </c>
      <c r="C822" s="1">
        <v>3.0</v>
      </c>
      <c r="D822" s="1" t="s">
        <v>19</v>
      </c>
      <c r="E822" s="1">
        <v>84836.41434212928</v>
      </c>
      <c r="F822" s="1">
        <v>84595.21793480593</v>
      </c>
      <c r="G822" s="1">
        <v>2155.0</v>
      </c>
      <c r="H822" s="1">
        <v>39.37</v>
      </c>
      <c r="I822" s="1">
        <v>39.26</v>
      </c>
      <c r="J822" s="1">
        <v>0.11</v>
      </c>
      <c r="K822" s="1">
        <v>0.28</v>
      </c>
      <c r="L822" s="1">
        <f t="shared" si="1"/>
        <v>241.1964073</v>
      </c>
      <c r="M822" s="1" t="str">
        <f t="shared" si="2"/>
        <v>Regular</v>
      </c>
      <c r="N822" s="1">
        <f t="shared" si="3"/>
        <v>39.36724563</v>
      </c>
      <c r="O822" s="1">
        <f t="shared" si="4"/>
        <v>36.77081123</v>
      </c>
      <c r="P822" s="4">
        <f t="shared" si="5"/>
        <v>-0.02152897128</v>
      </c>
    </row>
    <row r="823" ht="15.75" customHeight="1">
      <c r="A823" s="3">
        <v>42459.0</v>
      </c>
      <c r="B823" s="1">
        <v>2016.0</v>
      </c>
      <c r="C823" s="1">
        <v>3.0</v>
      </c>
      <c r="D823" s="1" t="s">
        <v>19</v>
      </c>
      <c r="E823" s="1">
        <v>64308.91421652049</v>
      </c>
      <c r="F823" s="1">
        <v>68427.59466606575</v>
      </c>
      <c r="G823" s="1">
        <v>1746.0</v>
      </c>
      <c r="H823" s="1">
        <v>36.83</v>
      </c>
      <c r="I823" s="1">
        <v>39.19</v>
      </c>
      <c r="J823" s="1">
        <v>-2.36</v>
      </c>
      <c r="K823" s="1">
        <v>-6.4</v>
      </c>
      <c r="L823" s="1">
        <f t="shared" si="1"/>
        <v>-4118.68045</v>
      </c>
      <c r="M823" s="1" t="str">
        <f t="shared" si="2"/>
        <v>ON SALE</v>
      </c>
      <c r="N823" s="1">
        <f t="shared" si="3"/>
        <v>36.83213873</v>
      </c>
      <c r="O823" s="1">
        <f t="shared" si="4"/>
        <v>36.76512758</v>
      </c>
      <c r="P823" s="4">
        <f t="shared" si="5"/>
        <v>-0.0215899606</v>
      </c>
    </row>
    <row r="824" ht="15.75" customHeight="1">
      <c r="A824" s="3">
        <v>42460.0</v>
      </c>
      <c r="B824" s="1">
        <v>2016.0</v>
      </c>
      <c r="C824" s="1">
        <v>3.0</v>
      </c>
      <c r="D824" s="1" t="s">
        <v>19</v>
      </c>
      <c r="E824" s="1">
        <v>131168.4855229476</v>
      </c>
      <c r="F824" s="1">
        <v>138589.10006426295</v>
      </c>
      <c r="G824" s="1">
        <v>3554.0</v>
      </c>
      <c r="H824" s="1">
        <v>36.91</v>
      </c>
      <c r="I824" s="1">
        <v>39.0</v>
      </c>
      <c r="J824" s="1">
        <v>-2.09</v>
      </c>
      <c r="K824" s="1">
        <v>-5.66</v>
      </c>
      <c r="L824" s="1">
        <f t="shared" si="1"/>
        <v>-7420.614541</v>
      </c>
      <c r="M824" s="1" t="str">
        <f t="shared" si="2"/>
        <v>ON SALE</v>
      </c>
      <c r="N824" s="1">
        <f t="shared" si="3"/>
        <v>36.90728349</v>
      </c>
      <c r="O824" s="1">
        <f t="shared" si="4"/>
        <v>36.76062286</v>
      </c>
      <c r="P824" s="4">
        <f t="shared" si="5"/>
        <v>-0.02150927295</v>
      </c>
    </row>
    <row r="825" ht="15.75" customHeight="1">
      <c r="A825" s="3">
        <v>42461.0</v>
      </c>
      <c r="B825" s="1">
        <v>2016.0</v>
      </c>
      <c r="C825" s="1">
        <v>4.0</v>
      </c>
      <c r="D825" s="1" t="s">
        <v>20</v>
      </c>
      <c r="E825" s="1">
        <v>232410.19797781546</v>
      </c>
      <c r="F825" s="1">
        <v>245358.62998053385</v>
      </c>
      <c r="G825" s="1">
        <v>6282.0</v>
      </c>
      <c r="H825" s="1">
        <v>37.0</v>
      </c>
      <c r="I825" s="1">
        <v>39.06</v>
      </c>
      <c r="J825" s="1">
        <v>-2.06</v>
      </c>
      <c r="K825" s="1">
        <v>-5.57</v>
      </c>
      <c r="L825" s="1">
        <f t="shared" si="1"/>
        <v>-12948.432</v>
      </c>
      <c r="M825" s="1" t="str">
        <f t="shared" si="2"/>
        <v>ON SALE</v>
      </c>
      <c r="N825" s="1">
        <f t="shared" si="3"/>
        <v>36.99621108</v>
      </c>
      <c r="O825" s="1">
        <f t="shared" si="4"/>
        <v>36.75214452</v>
      </c>
      <c r="P825" s="4">
        <f t="shared" si="5"/>
        <v>-0.02137282082</v>
      </c>
    </row>
    <row r="826" ht="15.75" customHeight="1">
      <c r="A826" s="3">
        <v>42462.0</v>
      </c>
      <c r="B826" s="1">
        <v>2016.0</v>
      </c>
      <c r="C826" s="1">
        <v>4.0</v>
      </c>
      <c r="D826" s="1" t="s">
        <v>20</v>
      </c>
      <c r="E826" s="1">
        <v>195831.0974571179</v>
      </c>
      <c r="F826" s="1">
        <v>205442.82809681172</v>
      </c>
      <c r="G826" s="1">
        <v>5259.0</v>
      </c>
      <c r="H826" s="1">
        <v>37.24</v>
      </c>
      <c r="I826" s="1">
        <v>39.06</v>
      </c>
      <c r="J826" s="1">
        <v>-1.83</v>
      </c>
      <c r="K826" s="1">
        <v>-4.91</v>
      </c>
      <c r="L826" s="1">
        <f t="shared" si="1"/>
        <v>-9611.73064</v>
      </c>
      <c r="M826" s="1" t="str">
        <f t="shared" si="2"/>
        <v>ON SALE</v>
      </c>
      <c r="N826" s="1">
        <f t="shared" si="3"/>
        <v>37.237326</v>
      </c>
      <c r="O826" s="1">
        <f t="shared" si="4"/>
        <v>36.73658021</v>
      </c>
      <c r="P826" s="4">
        <f t="shared" si="5"/>
        <v>-0.02113439</v>
      </c>
    </row>
    <row r="827" ht="15.75" customHeight="1">
      <c r="A827" s="3">
        <v>42463.0</v>
      </c>
      <c r="B827" s="1">
        <v>2016.0</v>
      </c>
      <c r="C827" s="1">
        <v>4.0</v>
      </c>
      <c r="D827" s="1" t="s">
        <v>20</v>
      </c>
      <c r="E827" s="1">
        <v>90716.54788913988</v>
      </c>
      <c r="F827" s="1">
        <v>95543.13364619676</v>
      </c>
      <c r="G827" s="1">
        <v>2446.0</v>
      </c>
      <c r="H827" s="1">
        <v>37.09</v>
      </c>
      <c r="I827" s="1">
        <v>39.06</v>
      </c>
      <c r="J827" s="1">
        <v>-1.97</v>
      </c>
      <c r="K827" s="1">
        <v>-5.32</v>
      </c>
      <c r="L827" s="1">
        <f t="shared" si="1"/>
        <v>-4826.585757</v>
      </c>
      <c r="M827" s="1" t="str">
        <f t="shared" si="2"/>
        <v>ON SALE</v>
      </c>
      <c r="N827" s="1">
        <f t="shared" si="3"/>
        <v>37.08771377</v>
      </c>
      <c r="O827" s="1">
        <f t="shared" si="4"/>
        <v>36.7233448</v>
      </c>
      <c r="P827" s="4">
        <f t="shared" si="5"/>
        <v>-0.02096992773</v>
      </c>
    </row>
    <row r="828" ht="15.75" customHeight="1">
      <c r="A828" s="3">
        <v>42464.0</v>
      </c>
      <c r="B828" s="1">
        <v>2016.0</v>
      </c>
      <c r="C828" s="1">
        <v>4.0</v>
      </c>
      <c r="D828" s="1" t="s">
        <v>20</v>
      </c>
      <c r="E828" s="1">
        <v>131638.01960717636</v>
      </c>
      <c r="F828" s="1">
        <v>130700.18894200736</v>
      </c>
      <c r="G828" s="1">
        <v>3345.0</v>
      </c>
      <c r="H828" s="1">
        <v>39.35</v>
      </c>
      <c r="I828" s="1">
        <v>39.07</v>
      </c>
      <c r="J828" s="1">
        <v>0.28</v>
      </c>
      <c r="K828" s="1">
        <v>0.71</v>
      </c>
      <c r="L828" s="1">
        <f t="shared" si="1"/>
        <v>937.8306652</v>
      </c>
      <c r="M828" s="1" t="str">
        <f t="shared" si="2"/>
        <v>Regular</v>
      </c>
      <c r="N828" s="1">
        <f t="shared" si="3"/>
        <v>39.35366804</v>
      </c>
      <c r="O828" s="1">
        <f t="shared" si="4"/>
        <v>36.71714818</v>
      </c>
      <c r="P828" s="4">
        <f t="shared" si="5"/>
        <v>-0.02088181342</v>
      </c>
    </row>
    <row r="829" ht="15.75" customHeight="1">
      <c r="A829" s="3">
        <v>42465.0</v>
      </c>
      <c r="B829" s="1">
        <v>2016.0</v>
      </c>
      <c r="C829" s="1">
        <v>4.0</v>
      </c>
      <c r="D829" s="1" t="s">
        <v>20</v>
      </c>
      <c r="E829" s="1">
        <v>81910.87261898941</v>
      </c>
      <c r="F829" s="1">
        <v>79969.51054529301</v>
      </c>
      <c r="G829" s="1">
        <v>2048.0</v>
      </c>
      <c r="H829" s="1">
        <v>40.0</v>
      </c>
      <c r="I829" s="1">
        <v>39.05</v>
      </c>
      <c r="J829" s="1">
        <v>0.95</v>
      </c>
      <c r="K829" s="1">
        <v>2.37</v>
      </c>
      <c r="L829" s="1">
        <f t="shared" si="1"/>
        <v>1941.362074</v>
      </c>
      <c r="M829" s="1" t="str">
        <f t="shared" si="2"/>
        <v>Regular</v>
      </c>
      <c r="N829" s="1">
        <f t="shared" si="3"/>
        <v>39.99554327</v>
      </c>
      <c r="O829" s="1">
        <f t="shared" si="4"/>
        <v>36.70857584</v>
      </c>
      <c r="P829" s="4">
        <f t="shared" si="5"/>
        <v>-0.02099334298</v>
      </c>
    </row>
    <row r="830" ht="15.75" customHeight="1">
      <c r="A830" s="3">
        <v>42466.0</v>
      </c>
      <c r="B830" s="1">
        <v>2016.0</v>
      </c>
      <c r="C830" s="1">
        <v>4.0</v>
      </c>
      <c r="D830" s="1" t="s">
        <v>20</v>
      </c>
      <c r="E830" s="1">
        <v>54821.90851370989</v>
      </c>
      <c r="F830" s="1">
        <v>50800.008514759305</v>
      </c>
      <c r="G830" s="1">
        <v>1303.0</v>
      </c>
      <c r="H830" s="1">
        <v>42.07</v>
      </c>
      <c r="I830" s="1">
        <v>38.99</v>
      </c>
      <c r="J830" s="1">
        <v>3.09</v>
      </c>
      <c r="K830" s="1">
        <v>7.34</v>
      </c>
      <c r="L830" s="1">
        <f t="shared" si="1"/>
        <v>4021.899999</v>
      </c>
      <c r="M830" s="1" t="str">
        <f t="shared" si="2"/>
        <v>Regular</v>
      </c>
      <c r="N830" s="1">
        <f t="shared" si="3"/>
        <v>42.07360592</v>
      </c>
      <c r="O830" s="1">
        <f t="shared" si="4"/>
        <v>36.70335385</v>
      </c>
      <c r="P830" s="4">
        <f t="shared" si="5"/>
        <v>-0.0211043694</v>
      </c>
    </row>
    <row r="831" ht="15.75" customHeight="1">
      <c r="A831" s="3">
        <v>42467.0</v>
      </c>
      <c r="B831" s="1">
        <v>2016.0</v>
      </c>
      <c r="C831" s="1">
        <v>4.0</v>
      </c>
      <c r="D831" s="1" t="s">
        <v>20</v>
      </c>
      <c r="E831" s="1">
        <v>155615.4194144664</v>
      </c>
      <c r="F831" s="1">
        <v>171592.12587915736</v>
      </c>
      <c r="G831" s="1">
        <v>4413.0</v>
      </c>
      <c r="H831" s="1">
        <v>35.26</v>
      </c>
      <c r="I831" s="1">
        <v>38.88</v>
      </c>
      <c r="J831" s="1">
        <v>-3.62</v>
      </c>
      <c r="K831" s="1">
        <v>-10.27</v>
      </c>
      <c r="L831" s="1">
        <f t="shared" si="1"/>
        <v>-15976.70646</v>
      </c>
      <c r="M831" s="1" t="str">
        <f t="shared" si="2"/>
        <v>ON SALE</v>
      </c>
      <c r="N831" s="1">
        <f t="shared" si="3"/>
        <v>35.26295477</v>
      </c>
      <c r="O831" s="1">
        <f t="shared" si="4"/>
        <v>36.70010558</v>
      </c>
      <c r="P831" s="4">
        <f t="shared" si="5"/>
        <v>-0.02126169223</v>
      </c>
    </row>
    <row r="832" ht="15.75" customHeight="1">
      <c r="A832" s="3">
        <v>42468.0</v>
      </c>
      <c r="B832" s="1">
        <v>2016.0</v>
      </c>
      <c r="C832" s="1">
        <v>4.0</v>
      </c>
      <c r="D832" s="1" t="s">
        <v>20</v>
      </c>
      <c r="E832" s="1">
        <v>264086.89378035</v>
      </c>
      <c r="F832" s="1">
        <v>291378.5798027745</v>
      </c>
      <c r="G832" s="1">
        <v>7494.0</v>
      </c>
      <c r="H832" s="1">
        <v>35.24</v>
      </c>
      <c r="I832" s="1">
        <v>38.88</v>
      </c>
      <c r="J832" s="1">
        <v>-3.64</v>
      </c>
      <c r="K832" s="1">
        <v>-10.33</v>
      </c>
      <c r="L832" s="1">
        <f t="shared" si="1"/>
        <v>-27291.68602</v>
      </c>
      <c r="M832" s="1" t="str">
        <f t="shared" si="2"/>
        <v>ON SALE</v>
      </c>
      <c r="N832" s="1">
        <f t="shared" si="3"/>
        <v>35.23977766</v>
      </c>
      <c r="O832" s="1">
        <f t="shared" si="4"/>
        <v>36.68953704</v>
      </c>
      <c r="P832" s="4">
        <f t="shared" si="5"/>
        <v>-0.02087503714</v>
      </c>
    </row>
    <row r="833" ht="15.75" customHeight="1">
      <c r="A833" s="3">
        <v>42469.0</v>
      </c>
      <c r="B833" s="1">
        <v>2016.0</v>
      </c>
      <c r="C833" s="1">
        <v>4.0</v>
      </c>
      <c r="D833" s="1" t="s">
        <v>20</v>
      </c>
      <c r="E833" s="1">
        <v>272761.2975426888</v>
      </c>
      <c r="F833" s="1">
        <v>298164.41609707446</v>
      </c>
      <c r="G833" s="1">
        <v>7738.0</v>
      </c>
      <c r="H833" s="1">
        <v>35.25</v>
      </c>
      <c r="I833" s="1">
        <v>38.53</v>
      </c>
      <c r="J833" s="1">
        <v>-3.28</v>
      </c>
      <c r="K833" s="1">
        <v>-9.31</v>
      </c>
      <c r="L833" s="1">
        <f t="shared" si="1"/>
        <v>-25403.11855</v>
      </c>
      <c r="M833" s="1" t="str">
        <f t="shared" si="2"/>
        <v>ON SALE</v>
      </c>
      <c r="N833" s="1">
        <f t="shared" si="3"/>
        <v>35.24958614</v>
      </c>
      <c r="O833" s="1">
        <f t="shared" si="4"/>
        <v>36.67136802</v>
      </c>
      <c r="P833" s="4">
        <f t="shared" si="5"/>
        <v>-0.02020490007</v>
      </c>
    </row>
    <row r="834" ht="15.75" customHeight="1">
      <c r="A834" s="3">
        <v>42470.0</v>
      </c>
      <c r="B834" s="1">
        <v>2016.0</v>
      </c>
      <c r="C834" s="1">
        <v>4.0</v>
      </c>
      <c r="D834" s="1" t="s">
        <v>20</v>
      </c>
      <c r="E834" s="1">
        <v>104689.42791845855</v>
      </c>
      <c r="F834" s="1">
        <v>113609.3042530743</v>
      </c>
      <c r="G834" s="1">
        <v>2958.0</v>
      </c>
      <c r="H834" s="1">
        <v>35.39</v>
      </c>
      <c r="I834" s="1">
        <v>38.41</v>
      </c>
      <c r="J834" s="1">
        <v>-3.02</v>
      </c>
      <c r="K834" s="1">
        <v>-8.52</v>
      </c>
      <c r="L834" s="1">
        <f t="shared" si="1"/>
        <v>-8919.876335</v>
      </c>
      <c r="M834" s="1" t="str">
        <f t="shared" si="2"/>
        <v>ON SALE</v>
      </c>
      <c r="N834" s="1">
        <f t="shared" si="3"/>
        <v>35.39196346</v>
      </c>
      <c r="O834" s="1">
        <f t="shared" si="4"/>
        <v>36.65530213</v>
      </c>
      <c r="P834" s="4">
        <f t="shared" si="5"/>
        <v>-0.01958764118</v>
      </c>
    </row>
    <row r="835" ht="15.75" customHeight="1">
      <c r="A835" s="3">
        <v>42471.0</v>
      </c>
      <c r="B835" s="1">
        <v>2016.0</v>
      </c>
      <c r="C835" s="1">
        <v>4.0</v>
      </c>
      <c r="D835" s="1" t="s">
        <v>20</v>
      </c>
      <c r="E835" s="1">
        <v>131170.59693377637</v>
      </c>
      <c r="F835" s="1">
        <v>142022.81259344588</v>
      </c>
      <c r="G835" s="1">
        <v>3713.0</v>
      </c>
      <c r="H835" s="1">
        <v>35.33</v>
      </c>
      <c r="I835" s="1">
        <v>38.25</v>
      </c>
      <c r="J835" s="1">
        <v>-2.92</v>
      </c>
      <c r="K835" s="1">
        <v>-8.27</v>
      </c>
      <c r="L835" s="1">
        <f t="shared" si="1"/>
        <v>-10852.21566</v>
      </c>
      <c r="M835" s="1" t="str">
        <f t="shared" si="2"/>
        <v>ON SALE</v>
      </c>
      <c r="N835" s="1">
        <f t="shared" si="3"/>
        <v>35.32738942</v>
      </c>
      <c r="O835" s="1">
        <f t="shared" si="4"/>
        <v>36.64950102</v>
      </c>
      <c r="P835" s="4">
        <f t="shared" si="5"/>
        <v>-0.01937378996</v>
      </c>
    </row>
    <row r="836" ht="15.75" customHeight="1">
      <c r="A836" s="3">
        <v>42472.0</v>
      </c>
      <c r="B836" s="1">
        <v>2016.0</v>
      </c>
      <c r="C836" s="1">
        <v>4.0</v>
      </c>
      <c r="D836" s="1" t="s">
        <v>20</v>
      </c>
      <c r="E836" s="1">
        <v>123179.48940038879</v>
      </c>
      <c r="F836" s="1">
        <v>132714.9602041004</v>
      </c>
      <c r="G836" s="1">
        <v>3504.0</v>
      </c>
      <c r="H836" s="1">
        <v>35.15</v>
      </c>
      <c r="I836" s="1">
        <v>37.88</v>
      </c>
      <c r="J836" s="1">
        <v>-2.72</v>
      </c>
      <c r="K836" s="1">
        <v>-7.74</v>
      </c>
      <c r="L836" s="1">
        <f t="shared" si="1"/>
        <v>-9535.470804</v>
      </c>
      <c r="M836" s="1" t="str">
        <f t="shared" si="2"/>
        <v>ON SALE</v>
      </c>
      <c r="N836" s="1">
        <f t="shared" si="3"/>
        <v>35.15396387</v>
      </c>
      <c r="O836" s="1">
        <f t="shared" si="4"/>
        <v>36.64282117</v>
      </c>
      <c r="P836" s="4">
        <f t="shared" si="5"/>
        <v>-0.01911399578</v>
      </c>
    </row>
    <row r="837" ht="15.75" customHeight="1">
      <c r="A837" s="3">
        <v>42473.0</v>
      </c>
      <c r="B837" s="1">
        <v>2016.0</v>
      </c>
      <c r="C837" s="1">
        <v>4.0</v>
      </c>
      <c r="D837" s="1" t="s">
        <v>20</v>
      </c>
      <c r="E837" s="1">
        <v>124431.0463716888</v>
      </c>
      <c r="F837" s="1">
        <v>132889.05689693728</v>
      </c>
      <c r="G837" s="1">
        <v>3534.0</v>
      </c>
      <c r="H837" s="1">
        <v>35.21</v>
      </c>
      <c r="I837" s="1">
        <v>37.6</v>
      </c>
      <c r="J837" s="1">
        <v>-2.39</v>
      </c>
      <c r="K837" s="1">
        <v>-6.8</v>
      </c>
      <c r="L837" s="1">
        <f t="shared" si="1"/>
        <v>-8458.010525</v>
      </c>
      <c r="M837" s="1" t="str">
        <f t="shared" si="2"/>
        <v>ON SALE</v>
      </c>
      <c r="N837" s="1">
        <f t="shared" si="3"/>
        <v>35.20969054</v>
      </c>
      <c r="O837" s="1">
        <f t="shared" si="4"/>
        <v>36.63794821</v>
      </c>
      <c r="P837" s="4">
        <f t="shared" si="5"/>
        <v>-0.0188886546</v>
      </c>
    </row>
    <row r="838" ht="15.75" customHeight="1">
      <c r="A838" s="3">
        <v>42474.0</v>
      </c>
      <c r="B838" s="1">
        <v>2016.0</v>
      </c>
      <c r="C838" s="1">
        <v>4.0</v>
      </c>
      <c r="D838" s="1" t="s">
        <v>20</v>
      </c>
      <c r="E838" s="1">
        <v>162166.83599087514</v>
      </c>
      <c r="F838" s="1">
        <v>172225.65270563864</v>
      </c>
      <c r="G838" s="1">
        <v>4601.0</v>
      </c>
      <c r="H838" s="1">
        <v>35.25</v>
      </c>
      <c r="I838" s="1">
        <v>37.43</v>
      </c>
      <c r="J838" s="1">
        <v>-2.19</v>
      </c>
      <c r="K838" s="1">
        <v>-6.2</v>
      </c>
      <c r="L838" s="1">
        <f t="shared" si="1"/>
        <v>-10058.81671</v>
      </c>
      <c r="M838" s="1" t="str">
        <f t="shared" si="2"/>
        <v>ON SALE</v>
      </c>
      <c r="N838" s="1">
        <f t="shared" si="3"/>
        <v>35.24599782</v>
      </c>
      <c r="O838" s="1">
        <f t="shared" si="4"/>
        <v>36.63408437</v>
      </c>
      <c r="P838" s="4">
        <f t="shared" si="5"/>
        <v>-0.01869624374</v>
      </c>
    </row>
    <row r="839" ht="15.75" customHeight="1">
      <c r="A839" s="3">
        <v>42475.0</v>
      </c>
      <c r="B839" s="1">
        <v>2016.0</v>
      </c>
      <c r="C839" s="1">
        <v>4.0</v>
      </c>
      <c r="D839" s="1" t="s">
        <v>20</v>
      </c>
      <c r="E839" s="1">
        <v>354042.0232398288</v>
      </c>
      <c r="F839" s="1">
        <v>373200.30598406313</v>
      </c>
      <c r="G839" s="1">
        <v>10045.0</v>
      </c>
      <c r="H839" s="1">
        <v>35.25</v>
      </c>
      <c r="I839" s="1">
        <v>37.15</v>
      </c>
      <c r="J839" s="1">
        <v>-1.91</v>
      </c>
      <c r="K839" s="1">
        <v>-5.41</v>
      </c>
      <c r="L839" s="1">
        <f t="shared" si="1"/>
        <v>-19158.28274</v>
      </c>
      <c r="M839" s="1" t="str">
        <f t="shared" si="2"/>
        <v>ON SALE</v>
      </c>
      <c r="N839" s="1">
        <f t="shared" si="3"/>
        <v>35.24559714</v>
      </c>
      <c r="O839" s="1">
        <f t="shared" si="4"/>
        <v>36.62990228</v>
      </c>
      <c r="P839" s="4">
        <f t="shared" si="5"/>
        <v>-0.01847373752</v>
      </c>
    </row>
    <row r="840" ht="15.75" customHeight="1">
      <c r="A840" s="3">
        <v>42476.0</v>
      </c>
      <c r="B840" s="1">
        <v>2016.0</v>
      </c>
      <c r="C840" s="1">
        <v>4.0</v>
      </c>
      <c r="D840" s="1" t="s">
        <v>20</v>
      </c>
      <c r="E840" s="1">
        <v>327352.26139595883</v>
      </c>
      <c r="F840" s="1">
        <v>345338.62806920626</v>
      </c>
      <c r="G840" s="1">
        <v>9301.0</v>
      </c>
      <c r="H840" s="1">
        <v>35.2</v>
      </c>
      <c r="I840" s="1">
        <v>37.13</v>
      </c>
      <c r="J840" s="1">
        <v>-1.93</v>
      </c>
      <c r="K840" s="1">
        <v>-5.49</v>
      </c>
      <c r="L840" s="1">
        <f t="shared" si="1"/>
        <v>-17986.36667</v>
      </c>
      <c r="M840" s="1" t="str">
        <f t="shared" si="2"/>
        <v>ON SALE</v>
      </c>
      <c r="N840" s="1">
        <f t="shared" si="3"/>
        <v>35.19538344</v>
      </c>
      <c r="O840" s="1">
        <f t="shared" si="4"/>
        <v>36.62385078</v>
      </c>
      <c r="P840" s="4">
        <f t="shared" si="5"/>
        <v>-0.01806966622</v>
      </c>
    </row>
    <row r="841" ht="15.75" customHeight="1">
      <c r="A841" s="3">
        <v>42477.0</v>
      </c>
      <c r="B841" s="1">
        <v>2016.0</v>
      </c>
      <c r="C841" s="1">
        <v>4.0</v>
      </c>
      <c r="D841" s="1" t="s">
        <v>20</v>
      </c>
      <c r="E841" s="1">
        <v>164809.30304825393</v>
      </c>
      <c r="F841" s="1">
        <v>175167.42875982972</v>
      </c>
      <c r="G841" s="1">
        <v>4678.0</v>
      </c>
      <c r="H841" s="1">
        <v>35.23</v>
      </c>
      <c r="I841" s="1">
        <v>37.44</v>
      </c>
      <c r="J841" s="1">
        <v>-2.21</v>
      </c>
      <c r="K841" s="1">
        <v>-6.28</v>
      </c>
      <c r="L841" s="1">
        <f t="shared" si="1"/>
        <v>-10358.12571</v>
      </c>
      <c r="M841" s="1" t="str">
        <f t="shared" si="2"/>
        <v>ON SALE</v>
      </c>
      <c r="N841" s="1">
        <f t="shared" si="3"/>
        <v>35.23071891</v>
      </c>
      <c r="O841" s="1">
        <f t="shared" si="4"/>
        <v>36.61837741</v>
      </c>
      <c r="P841" s="4">
        <f t="shared" si="5"/>
        <v>-0.01767900327</v>
      </c>
    </row>
    <row r="842" ht="15.75" customHeight="1">
      <c r="A842" s="3">
        <v>42478.0</v>
      </c>
      <c r="B842" s="1">
        <v>2016.0</v>
      </c>
      <c r="C842" s="1">
        <v>4.0</v>
      </c>
      <c r="D842" s="1" t="s">
        <v>20</v>
      </c>
      <c r="E842" s="1">
        <v>151157.79430871515</v>
      </c>
      <c r="F842" s="1">
        <v>159828.76503430534</v>
      </c>
      <c r="G842" s="1">
        <v>4294.0</v>
      </c>
      <c r="H842" s="1">
        <v>35.2</v>
      </c>
      <c r="I842" s="1">
        <v>37.22</v>
      </c>
      <c r="J842" s="1">
        <v>-2.02</v>
      </c>
      <c r="K842" s="1">
        <v>-5.74</v>
      </c>
      <c r="L842" s="1">
        <f t="shared" si="1"/>
        <v>-8670.970726</v>
      </c>
      <c r="M842" s="1" t="str">
        <f t="shared" si="2"/>
        <v>ON SALE</v>
      </c>
      <c r="N842" s="1">
        <f t="shared" si="3"/>
        <v>35.20209462</v>
      </c>
      <c r="O842" s="1">
        <f t="shared" si="4"/>
        <v>36.61385002</v>
      </c>
      <c r="P842" s="4">
        <f t="shared" si="5"/>
        <v>-0.01743678498</v>
      </c>
    </row>
    <row r="843" ht="15.75" customHeight="1">
      <c r="A843" s="3">
        <v>42479.0</v>
      </c>
      <c r="B843" s="1">
        <v>2016.0</v>
      </c>
      <c r="C843" s="1">
        <v>4.0</v>
      </c>
      <c r="D843" s="1" t="s">
        <v>20</v>
      </c>
      <c r="E843" s="1">
        <v>126895.93649753758</v>
      </c>
      <c r="F843" s="1">
        <v>133726.28056152482</v>
      </c>
      <c r="G843" s="1">
        <v>3606.0</v>
      </c>
      <c r="H843" s="1">
        <v>35.19</v>
      </c>
      <c r="I843" s="1">
        <v>37.08</v>
      </c>
      <c r="J843" s="1">
        <v>-1.89</v>
      </c>
      <c r="K843" s="1">
        <v>-5.38</v>
      </c>
      <c r="L843" s="1">
        <f t="shared" si="1"/>
        <v>-6830.344064</v>
      </c>
      <c r="M843" s="1" t="str">
        <f t="shared" si="2"/>
        <v>ON SALE</v>
      </c>
      <c r="N843" s="1">
        <f t="shared" si="3"/>
        <v>35.19022088</v>
      </c>
      <c r="O843" s="1">
        <f t="shared" si="4"/>
        <v>36.61077989</v>
      </c>
      <c r="P843" s="4">
        <f t="shared" si="5"/>
        <v>-0.01723944677</v>
      </c>
    </row>
    <row r="844" ht="15.75" customHeight="1">
      <c r="A844" s="3">
        <v>42480.0</v>
      </c>
      <c r="B844" s="1">
        <v>2016.0</v>
      </c>
      <c r="C844" s="1">
        <v>4.0</v>
      </c>
      <c r="D844" s="1" t="s">
        <v>20</v>
      </c>
      <c r="E844" s="1">
        <v>166395.44582884014</v>
      </c>
      <c r="F844" s="1">
        <v>179020.54245850776</v>
      </c>
      <c r="G844" s="1">
        <v>4838.0</v>
      </c>
      <c r="H844" s="1">
        <v>34.39</v>
      </c>
      <c r="I844" s="1">
        <v>37.0</v>
      </c>
      <c r="J844" s="1">
        <v>-2.61</v>
      </c>
      <c r="K844" s="1">
        <v>-7.59</v>
      </c>
      <c r="L844" s="1">
        <f t="shared" si="1"/>
        <v>-12625.09663</v>
      </c>
      <c r="M844" s="1" t="str">
        <f t="shared" si="2"/>
        <v>ON SALE</v>
      </c>
      <c r="N844" s="1">
        <f t="shared" si="3"/>
        <v>34.39343651</v>
      </c>
      <c r="O844" s="1">
        <f t="shared" si="4"/>
        <v>36.60876159</v>
      </c>
      <c r="P844" s="4">
        <f t="shared" si="5"/>
        <v>-0.01708700855</v>
      </c>
    </row>
    <row r="845" ht="15.75" customHeight="1">
      <c r="A845" s="3">
        <v>42481.0</v>
      </c>
      <c r="B845" s="1">
        <v>2016.0</v>
      </c>
      <c r="C845" s="1">
        <v>4.0</v>
      </c>
      <c r="D845" s="1" t="s">
        <v>20</v>
      </c>
      <c r="E845" s="1">
        <v>167796.35478000136</v>
      </c>
      <c r="F845" s="1">
        <v>182485.09893705396</v>
      </c>
      <c r="G845" s="1">
        <v>4914.0</v>
      </c>
      <c r="H845" s="1">
        <v>34.15</v>
      </c>
      <c r="I845" s="1">
        <v>37.14</v>
      </c>
      <c r="J845" s="1">
        <v>-2.99</v>
      </c>
      <c r="K845" s="1">
        <v>-8.75</v>
      </c>
      <c r="L845" s="1">
        <f t="shared" si="1"/>
        <v>-14688.74416</v>
      </c>
      <c r="M845" s="1" t="str">
        <f t="shared" si="2"/>
        <v>ON SALE</v>
      </c>
      <c r="N845" s="1">
        <f t="shared" si="3"/>
        <v>34.14659234</v>
      </c>
      <c r="O845" s="1">
        <f t="shared" si="4"/>
        <v>36.60649449</v>
      </c>
      <c r="P845" s="4">
        <f t="shared" si="5"/>
        <v>-0.0167640678</v>
      </c>
    </row>
    <row r="846" ht="15.75" customHeight="1">
      <c r="A846" s="3">
        <v>42482.0</v>
      </c>
      <c r="B846" s="1">
        <v>2016.0</v>
      </c>
      <c r="C846" s="1">
        <v>4.0</v>
      </c>
      <c r="D846" s="1" t="s">
        <v>20</v>
      </c>
      <c r="E846" s="1">
        <v>351146.0169992443</v>
      </c>
      <c r="F846" s="1">
        <v>380098.15640387445</v>
      </c>
      <c r="G846" s="1">
        <v>10269.0</v>
      </c>
      <c r="H846" s="1">
        <v>34.19</v>
      </c>
      <c r="I846" s="1">
        <v>37.01</v>
      </c>
      <c r="J846" s="1">
        <v>-2.82</v>
      </c>
      <c r="K846" s="1">
        <v>-8.25</v>
      </c>
      <c r="L846" s="1">
        <f t="shared" si="1"/>
        <v>-28952.1394</v>
      </c>
      <c r="M846" s="1" t="str">
        <f t="shared" si="2"/>
        <v>ON SALE</v>
      </c>
      <c r="N846" s="1">
        <f t="shared" si="3"/>
        <v>34.19476259</v>
      </c>
      <c r="O846" s="1">
        <f t="shared" si="4"/>
        <v>36.60338502</v>
      </c>
      <c r="P846" s="4">
        <f t="shared" si="5"/>
        <v>-0.0163698148</v>
      </c>
    </row>
    <row r="847" ht="15.75" customHeight="1">
      <c r="A847" s="3">
        <v>42483.0</v>
      </c>
      <c r="B847" s="1">
        <v>2016.0</v>
      </c>
      <c r="C847" s="1">
        <v>4.0</v>
      </c>
      <c r="D847" s="1" t="s">
        <v>20</v>
      </c>
      <c r="E847" s="1">
        <v>420738.8217596446</v>
      </c>
      <c r="F847" s="1">
        <v>455415.3493280298</v>
      </c>
      <c r="G847" s="1">
        <v>12317.0</v>
      </c>
      <c r="H847" s="1">
        <v>34.16</v>
      </c>
      <c r="I847" s="1">
        <v>36.97</v>
      </c>
      <c r="J847" s="1">
        <v>-2.82</v>
      </c>
      <c r="K847" s="1">
        <v>-8.24</v>
      </c>
      <c r="L847" s="1">
        <f t="shared" si="1"/>
        <v>-34676.52757</v>
      </c>
      <c r="M847" s="1" t="str">
        <f t="shared" si="2"/>
        <v>ON SALE</v>
      </c>
      <c r="N847" s="1">
        <f t="shared" si="3"/>
        <v>34.15919638</v>
      </c>
      <c r="O847" s="1">
        <f t="shared" si="4"/>
        <v>36.59827935</v>
      </c>
      <c r="P847" s="4">
        <f t="shared" si="5"/>
        <v>-0.01559040366</v>
      </c>
    </row>
    <row r="848" ht="15.75" customHeight="1">
      <c r="A848" s="3">
        <v>42484.0</v>
      </c>
      <c r="B848" s="1">
        <v>2016.0</v>
      </c>
      <c r="C848" s="1">
        <v>4.0</v>
      </c>
      <c r="D848" s="1" t="s">
        <v>20</v>
      </c>
      <c r="E848" s="1">
        <v>186166.15078643878</v>
      </c>
      <c r="F848" s="1">
        <v>202391.17869529044</v>
      </c>
      <c r="G848" s="1">
        <v>5453.0</v>
      </c>
      <c r="H848" s="1">
        <v>34.14</v>
      </c>
      <c r="I848" s="1">
        <v>37.12</v>
      </c>
      <c r="J848" s="1">
        <v>-2.98</v>
      </c>
      <c r="K848" s="1">
        <v>-8.72</v>
      </c>
      <c r="L848" s="1">
        <f t="shared" si="1"/>
        <v>-16225.02791</v>
      </c>
      <c r="M848" s="1" t="str">
        <f t="shared" si="2"/>
        <v>ON SALE</v>
      </c>
      <c r="N848" s="1">
        <f t="shared" si="3"/>
        <v>34.14013402</v>
      </c>
      <c r="O848" s="1">
        <f t="shared" si="4"/>
        <v>36.59258481</v>
      </c>
      <c r="P848" s="4">
        <f t="shared" si="5"/>
        <v>-0.01463242504</v>
      </c>
    </row>
    <row r="849" ht="15.75" customHeight="1">
      <c r="A849" s="3">
        <v>42485.0</v>
      </c>
      <c r="B849" s="1">
        <v>2016.0</v>
      </c>
      <c r="C849" s="1">
        <v>4.0</v>
      </c>
      <c r="D849" s="1" t="s">
        <v>20</v>
      </c>
      <c r="E849" s="1">
        <v>251449.52963919108</v>
      </c>
      <c r="F849" s="1">
        <v>273255.0985307931</v>
      </c>
      <c r="G849" s="1">
        <v>7372.0</v>
      </c>
      <c r="H849" s="1">
        <v>34.11</v>
      </c>
      <c r="I849" s="1">
        <v>37.07</v>
      </c>
      <c r="J849" s="1">
        <v>-2.96</v>
      </c>
      <c r="K849" s="1">
        <v>-8.67</v>
      </c>
      <c r="L849" s="1">
        <f t="shared" si="1"/>
        <v>-21805.56889</v>
      </c>
      <c r="M849" s="1" t="str">
        <f t="shared" si="2"/>
        <v>ON SALE</v>
      </c>
      <c r="N849" s="1">
        <f t="shared" si="3"/>
        <v>34.10872621</v>
      </c>
      <c r="O849" s="1">
        <f t="shared" si="4"/>
        <v>36.58905695</v>
      </c>
      <c r="P849" s="4">
        <f t="shared" si="5"/>
        <v>-0.01416949591</v>
      </c>
    </row>
    <row r="850" ht="15.75" customHeight="1">
      <c r="A850" s="3">
        <v>42486.0</v>
      </c>
      <c r="B850" s="1">
        <v>2016.0</v>
      </c>
      <c r="C850" s="1">
        <v>4.0</v>
      </c>
      <c r="D850" s="1" t="s">
        <v>20</v>
      </c>
      <c r="E850" s="1">
        <v>280321.8107467659</v>
      </c>
      <c r="F850" s="1">
        <v>302469.8319752347</v>
      </c>
      <c r="G850" s="1">
        <v>8211.0</v>
      </c>
      <c r="H850" s="1">
        <v>34.14</v>
      </c>
      <c r="I850" s="1">
        <v>36.84</v>
      </c>
      <c r="J850" s="1">
        <v>-2.7</v>
      </c>
      <c r="K850" s="1">
        <v>-7.9</v>
      </c>
      <c r="L850" s="1">
        <f t="shared" si="1"/>
        <v>-22148.02123</v>
      </c>
      <c r="M850" s="1" t="str">
        <f t="shared" si="2"/>
        <v>ON SALE</v>
      </c>
      <c r="N850" s="1">
        <f t="shared" si="3"/>
        <v>34.1397894</v>
      </c>
      <c r="O850" s="1">
        <f t="shared" si="4"/>
        <v>36.58466171</v>
      </c>
      <c r="P850" s="4">
        <f t="shared" si="5"/>
        <v>-0.0135385409</v>
      </c>
    </row>
    <row r="851" ht="15.75" customHeight="1">
      <c r="A851" s="3">
        <v>42487.0</v>
      </c>
      <c r="B851" s="1">
        <v>2016.0</v>
      </c>
      <c r="C851" s="1">
        <v>4.0</v>
      </c>
      <c r="D851" s="1" t="s">
        <v>20</v>
      </c>
      <c r="E851" s="1">
        <v>313434.9333136646</v>
      </c>
      <c r="F851" s="1">
        <v>337931.1169661971</v>
      </c>
      <c r="G851" s="1">
        <v>9182.0</v>
      </c>
      <c r="H851" s="1">
        <v>34.14</v>
      </c>
      <c r="I851" s="1">
        <v>36.8</v>
      </c>
      <c r="J851" s="1">
        <v>-2.67</v>
      </c>
      <c r="K851" s="1">
        <v>-7.82</v>
      </c>
      <c r="L851" s="1">
        <f t="shared" si="1"/>
        <v>-24496.18365</v>
      </c>
      <c r="M851" s="1" t="str">
        <f t="shared" si="2"/>
        <v>ON SALE</v>
      </c>
      <c r="N851" s="1">
        <f t="shared" si="3"/>
        <v>34.13580193</v>
      </c>
      <c r="O851" s="1">
        <f t="shared" si="4"/>
        <v>36.58204666</v>
      </c>
      <c r="P851" s="4">
        <f t="shared" si="5"/>
        <v>-0.01289755923</v>
      </c>
    </row>
    <row r="852" ht="15.75" customHeight="1">
      <c r="A852" s="3">
        <v>42488.0</v>
      </c>
      <c r="B852" s="1">
        <v>2016.0</v>
      </c>
      <c r="C852" s="1">
        <v>4.0</v>
      </c>
      <c r="D852" s="1" t="s">
        <v>20</v>
      </c>
      <c r="E852" s="1">
        <v>257324.60308093973</v>
      </c>
      <c r="F852" s="1">
        <v>276852.1799425774</v>
      </c>
      <c r="G852" s="1">
        <v>7520.0</v>
      </c>
      <c r="H852" s="1">
        <v>34.22</v>
      </c>
      <c r="I852" s="1">
        <v>36.82</v>
      </c>
      <c r="J852" s="1">
        <v>-2.6</v>
      </c>
      <c r="K852" s="1">
        <v>-7.59</v>
      </c>
      <c r="L852" s="1">
        <f t="shared" si="1"/>
        <v>-19527.57686</v>
      </c>
      <c r="M852" s="1" t="str">
        <f t="shared" si="2"/>
        <v>ON SALE</v>
      </c>
      <c r="N852" s="1">
        <f t="shared" si="3"/>
        <v>34.21869722</v>
      </c>
      <c r="O852" s="1">
        <f t="shared" si="4"/>
        <v>36.57944999</v>
      </c>
      <c r="P852" s="4">
        <f t="shared" si="5"/>
        <v>-0.01217530102</v>
      </c>
    </row>
    <row r="853" ht="15.75" customHeight="1">
      <c r="A853" s="3">
        <v>42489.0</v>
      </c>
      <c r="B853" s="1">
        <v>2016.0</v>
      </c>
      <c r="C853" s="1">
        <v>4.0</v>
      </c>
      <c r="D853" s="1" t="s">
        <v>20</v>
      </c>
      <c r="E853" s="1">
        <v>455554.3360482295</v>
      </c>
      <c r="F853" s="1">
        <v>489215.06753789564</v>
      </c>
      <c r="G853" s="1">
        <v>13321.0</v>
      </c>
      <c r="H853" s="1">
        <v>34.2</v>
      </c>
      <c r="I853" s="1">
        <v>36.73</v>
      </c>
      <c r="J853" s="1">
        <v>-2.53</v>
      </c>
      <c r="K853" s="1">
        <v>-7.39</v>
      </c>
      <c r="L853" s="1">
        <f t="shared" si="1"/>
        <v>-33660.73149</v>
      </c>
      <c r="M853" s="1" t="str">
        <f t="shared" si="2"/>
        <v>ON SALE</v>
      </c>
      <c r="N853" s="1">
        <f t="shared" si="3"/>
        <v>34.19820855</v>
      </c>
      <c r="O853" s="1">
        <f t="shared" si="4"/>
        <v>36.57716323</v>
      </c>
      <c r="P853" s="4">
        <f t="shared" si="5"/>
        <v>-0.01159106769</v>
      </c>
    </row>
    <row r="854" ht="15.75" customHeight="1">
      <c r="A854" s="3">
        <v>42490.0</v>
      </c>
      <c r="B854" s="1">
        <v>2016.0</v>
      </c>
      <c r="C854" s="1">
        <v>4.0</v>
      </c>
      <c r="D854" s="1" t="s">
        <v>20</v>
      </c>
      <c r="E854" s="1">
        <v>556865.2032750524</v>
      </c>
      <c r="F854" s="1">
        <v>598925.6678887007</v>
      </c>
      <c r="G854" s="1">
        <v>16276.0</v>
      </c>
      <c r="H854" s="1">
        <v>34.21</v>
      </c>
      <c r="I854" s="1">
        <v>36.8</v>
      </c>
      <c r="J854" s="1">
        <v>-2.58</v>
      </c>
      <c r="K854" s="1">
        <v>-7.55</v>
      </c>
      <c r="L854" s="1">
        <f t="shared" si="1"/>
        <v>-42060.46461</v>
      </c>
      <c r="M854" s="1" t="str">
        <f t="shared" si="2"/>
        <v>ON SALE</v>
      </c>
      <c r="N854" s="1">
        <f t="shared" si="3"/>
        <v>34.21388568</v>
      </c>
      <c r="O854" s="1">
        <f t="shared" si="4"/>
        <v>36.57457963</v>
      </c>
      <c r="P854" s="4">
        <f t="shared" si="5"/>
        <v>-0.0105630218</v>
      </c>
    </row>
    <row r="855" ht="15.75" customHeight="1">
      <c r="A855" s="3">
        <v>42491.0</v>
      </c>
      <c r="B855" s="1">
        <v>2016.0</v>
      </c>
      <c r="C855" s="1">
        <v>5.0</v>
      </c>
      <c r="D855" s="1" t="s">
        <v>21</v>
      </c>
      <c r="E855" s="1">
        <v>354856.0449220869</v>
      </c>
      <c r="F855" s="1">
        <v>380511.1591581091</v>
      </c>
      <c r="G855" s="1">
        <v>10388.0</v>
      </c>
      <c r="H855" s="1">
        <v>34.16</v>
      </c>
      <c r="I855" s="1">
        <v>36.63</v>
      </c>
      <c r="J855" s="1">
        <v>-2.47</v>
      </c>
      <c r="K855" s="1">
        <v>-7.23</v>
      </c>
      <c r="L855" s="1">
        <f t="shared" si="1"/>
        <v>-25655.11424</v>
      </c>
      <c r="M855" s="1" t="str">
        <f t="shared" si="2"/>
        <v>ON SALE</v>
      </c>
      <c r="N855" s="1">
        <f t="shared" si="3"/>
        <v>34.16018915</v>
      </c>
      <c r="O855" s="1">
        <f t="shared" si="4"/>
        <v>36.56970639</v>
      </c>
      <c r="P855" s="4">
        <f t="shared" si="5"/>
        <v>-0.009225525828</v>
      </c>
    </row>
    <row r="856" ht="15.75" customHeight="1">
      <c r="A856" s="3">
        <v>42492.0</v>
      </c>
      <c r="B856" s="1">
        <v>2016.0</v>
      </c>
      <c r="C856" s="1">
        <v>5.0</v>
      </c>
      <c r="D856" s="1" t="s">
        <v>21</v>
      </c>
      <c r="E856" s="1">
        <v>283284.5812539708</v>
      </c>
      <c r="F856" s="1">
        <v>304997.8518168963</v>
      </c>
      <c r="G856" s="1">
        <v>8298.0</v>
      </c>
      <c r="H856" s="1">
        <v>34.14</v>
      </c>
      <c r="I856" s="1">
        <v>36.76</v>
      </c>
      <c r="J856" s="1">
        <v>-2.62</v>
      </c>
      <c r="K856" s="1">
        <v>-7.66</v>
      </c>
      <c r="L856" s="1">
        <f t="shared" si="1"/>
        <v>-21713.27056</v>
      </c>
      <c r="M856" s="1" t="str">
        <f t="shared" si="2"/>
        <v>ON SALE</v>
      </c>
      <c r="N856" s="1">
        <f t="shared" si="3"/>
        <v>34.13889868</v>
      </c>
      <c r="O856" s="1">
        <f t="shared" si="4"/>
        <v>36.56885725</v>
      </c>
      <c r="P856" s="4">
        <f t="shared" si="5"/>
        <v>-0.008387096356</v>
      </c>
    </row>
    <row r="857" ht="15.75" customHeight="1">
      <c r="A857" s="3">
        <v>42493.0</v>
      </c>
      <c r="B857" s="1">
        <v>2016.0</v>
      </c>
      <c r="C857" s="1">
        <v>5.0</v>
      </c>
      <c r="D857" s="1" t="s">
        <v>21</v>
      </c>
      <c r="E857" s="1">
        <v>297500.67396872584</v>
      </c>
      <c r="F857" s="1">
        <v>319786.3594685611</v>
      </c>
      <c r="G857" s="1">
        <v>8717.0</v>
      </c>
      <c r="H857" s="1">
        <v>34.13</v>
      </c>
      <c r="I857" s="1">
        <v>36.69</v>
      </c>
      <c r="J857" s="1">
        <v>-2.56</v>
      </c>
      <c r="K857" s="1">
        <v>-7.49</v>
      </c>
      <c r="L857" s="1">
        <f t="shared" si="1"/>
        <v>-22285.6855</v>
      </c>
      <c r="M857" s="1" t="str">
        <f t="shared" si="2"/>
        <v>ON SALE</v>
      </c>
      <c r="N857" s="1">
        <f t="shared" si="3"/>
        <v>34.12879132</v>
      </c>
      <c r="O857" s="1">
        <f t="shared" si="4"/>
        <v>36.56672827</v>
      </c>
      <c r="P857" s="4">
        <f t="shared" si="5"/>
        <v>-0.007654930093</v>
      </c>
    </row>
    <row r="858" ht="15.75" customHeight="1">
      <c r="A858" s="3">
        <v>42494.0</v>
      </c>
      <c r="B858" s="1">
        <v>2016.0</v>
      </c>
      <c r="C858" s="1">
        <v>5.0</v>
      </c>
      <c r="D858" s="1" t="s">
        <v>21</v>
      </c>
      <c r="E858" s="1">
        <v>285968.4877825197</v>
      </c>
      <c r="F858" s="1">
        <v>305506.9982349475</v>
      </c>
      <c r="G858" s="1">
        <v>8364.0</v>
      </c>
      <c r="H858" s="1">
        <v>34.19</v>
      </c>
      <c r="I858" s="1">
        <v>36.53</v>
      </c>
      <c r="J858" s="1">
        <v>-2.34</v>
      </c>
      <c r="K858" s="1">
        <v>-6.83</v>
      </c>
      <c r="L858" s="1">
        <f t="shared" si="1"/>
        <v>-19538.51045</v>
      </c>
      <c r="M858" s="1" t="str">
        <f t="shared" si="2"/>
        <v>ON SALE</v>
      </c>
      <c r="N858" s="1">
        <f t="shared" si="3"/>
        <v>34.19039787</v>
      </c>
      <c r="O858" s="1">
        <f t="shared" si="4"/>
        <v>36.56529007</v>
      </c>
      <c r="P858" s="4">
        <f t="shared" si="5"/>
        <v>-0.006888727073</v>
      </c>
    </row>
    <row r="859" ht="15.75" customHeight="1">
      <c r="A859" s="3">
        <v>42495.0</v>
      </c>
      <c r="B859" s="1">
        <v>2016.0</v>
      </c>
      <c r="C859" s="1">
        <v>5.0</v>
      </c>
      <c r="D859" s="1" t="s">
        <v>21</v>
      </c>
      <c r="E859" s="1">
        <v>237946.63267226366</v>
      </c>
      <c r="F859" s="1">
        <v>254527.4155055261</v>
      </c>
      <c r="G859" s="1">
        <v>6968.0</v>
      </c>
      <c r="H859" s="1">
        <v>34.15</v>
      </c>
      <c r="I859" s="1">
        <v>36.53</v>
      </c>
      <c r="J859" s="1">
        <v>-2.38</v>
      </c>
      <c r="K859" s="1">
        <v>-6.97</v>
      </c>
      <c r="L859" s="1">
        <f t="shared" si="1"/>
        <v>-16580.78283</v>
      </c>
      <c r="M859" s="1" t="str">
        <f t="shared" si="2"/>
        <v>ON SALE</v>
      </c>
      <c r="N859" s="1">
        <f t="shared" si="3"/>
        <v>34.14848345</v>
      </c>
      <c r="O859" s="1">
        <f t="shared" si="4"/>
        <v>36.56574748</v>
      </c>
      <c r="P859" s="4">
        <f t="shared" si="5"/>
        <v>-0.006208504642</v>
      </c>
    </row>
    <row r="860" ht="15.75" customHeight="1">
      <c r="A860" s="3">
        <v>42496.0</v>
      </c>
      <c r="B860" s="1">
        <v>2016.0</v>
      </c>
      <c r="C860" s="1">
        <v>5.0</v>
      </c>
      <c r="D860" s="1" t="s">
        <v>21</v>
      </c>
      <c r="E860" s="1">
        <v>340851.5058648595</v>
      </c>
      <c r="F860" s="1">
        <v>364361.03286413854</v>
      </c>
      <c r="G860" s="1">
        <v>9973.0</v>
      </c>
      <c r="H860" s="1">
        <v>34.18</v>
      </c>
      <c r="I860" s="1">
        <v>36.53</v>
      </c>
      <c r="J860" s="1">
        <v>-2.36</v>
      </c>
      <c r="K860" s="1">
        <v>-6.9</v>
      </c>
      <c r="L860" s="1">
        <f t="shared" si="1"/>
        <v>-23509.527</v>
      </c>
      <c r="M860" s="1" t="str">
        <f t="shared" si="2"/>
        <v>ON SALE</v>
      </c>
      <c r="N860" s="1">
        <f t="shared" si="3"/>
        <v>34.17742965</v>
      </c>
      <c r="O860" s="1">
        <f t="shared" si="4"/>
        <v>36.56612078</v>
      </c>
      <c r="P860" s="4">
        <f t="shared" si="5"/>
        <v>-0.005618287328</v>
      </c>
    </row>
    <row r="861" ht="15.75" customHeight="1">
      <c r="A861" s="3">
        <v>42497.0</v>
      </c>
      <c r="B861" s="1">
        <v>2016.0</v>
      </c>
      <c r="C861" s="1">
        <v>5.0</v>
      </c>
      <c r="D861" s="1" t="s">
        <v>21</v>
      </c>
      <c r="E861" s="1">
        <v>388187.60143352806</v>
      </c>
      <c r="F861" s="1">
        <v>414644.62349081144</v>
      </c>
      <c r="G861" s="1">
        <v>11363.0</v>
      </c>
      <c r="H861" s="1">
        <v>34.16</v>
      </c>
      <c r="I861" s="1">
        <v>36.49</v>
      </c>
      <c r="J861" s="1">
        <v>-2.33</v>
      </c>
      <c r="K861" s="1">
        <v>-6.82</v>
      </c>
      <c r="L861" s="1">
        <f t="shared" si="1"/>
        <v>-26457.02206</v>
      </c>
      <c r="M861" s="1" t="str">
        <f t="shared" si="2"/>
        <v>ON SALE</v>
      </c>
      <c r="N861" s="1">
        <f t="shared" si="3"/>
        <v>34.16242202</v>
      </c>
      <c r="O861" s="1">
        <f t="shared" si="4"/>
        <v>36.56657177</v>
      </c>
      <c r="P861" s="4">
        <f t="shared" si="5"/>
        <v>-0.004763019948</v>
      </c>
    </row>
    <row r="862" ht="15.75" customHeight="1">
      <c r="A862" s="3">
        <v>42498.0</v>
      </c>
      <c r="B862" s="1">
        <v>2016.0</v>
      </c>
      <c r="C862" s="1">
        <v>5.0</v>
      </c>
      <c r="D862" s="1" t="s">
        <v>21</v>
      </c>
      <c r="E862" s="1">
        <v>139178.98405924515</v>
      </c>
      <c r="F862" s="1">
        <v>148731.09052730413</v>
      </c>
      <c r="G862" s="1">
        <v>4074.0</v>
      </c>
      <c r="H862" s="1">
        <v>34.16</v>
      </c>
      <c r="I862" s="1">
        <v>36.51</v>
      </c>
      <c r="J862" s="1">
        <v>-2.34</v>
      </c>
      <c r="K862" s="1">
        <v>-6.86</v>
      </c>
      <c r="L862" s="1">
        <f t="shared" si="1"/>
        <v>-9552.106468</v>
      </c>
      <c r="M862" s="1" t="str">
        <f t="shared" si="2"/>
        <v>ON SALE</v>
      </c>
      <c r="N862" s="1">
        <f t="shared" si="3"/>
        <v>34.16273541</v>
      </c>
      <c r="O862" s="1">
        <f t="shared" si="4"/>
        <v>36.56783395</v>
      </c>
      <c r="P862" s="4">
        <f t="shared" si="5"/>
        <v>-0.00377318035</v>
      </c>
    </row>
    <row r="863" ht="15.75" customHeight="1">
      <c r="A863" s="3">
        <v>42499.0</v>
      </c>
      <c r="B863" s="1">
        <v>2016.0</v>
      </c>
      <c r="C863" s="1">
        <v>5.0</v>
      </c>
      <c r="D863" s="1" t="s">
        <v>21</v>
      </c>
      <c r="E863" s="1">
        <v>66400.30304726951</v>
      </c>
      <c r="F863" s="1">
        <v>57741.73890751255</v>
      </c>
      <c r="G863" s="1">
        <v>1579.0</v>
      </c>
      <c r="H863" s="1">
        <v>42.05</v>
      </c>
      <c r="I863" s="1">
        <v>36.57</v>
      </c>
      <c r="J863" s="1">
        <v>5.48</v>
      </c>
      <c r="K863" s="1">
        <v>13.04</v>
      </c>
      <c r="L863" s="1">
        <f t="shared" si="1"/>
        <v>8658.56414</v>
      </c>
      <c r="M863" s="1" t="str">
        <f t="shared" si="2"/>
        <v>Regular</v>
      </c>
      <c r="N863" s="1">
        <f t="shared" si="3"/>
        <v>42.05212353</v>
      </c>
      <c r="O863" s="1">
        <f t="shared" si="4"/>
        <v>36.56819699</v>
      </c>
      <c r="P863" s="4">
        <f t="shared" si="5"/>
        <v>-0.003408034145</v>
      </c>
    </row>
    <row r="864" ht="15.75" customHeight="1">
      <c r="A864" s="3">
        <v>42500.0</v>
      </c>
      <c r="B864" s="1">
        <v>2016.0</v>
      </c>
      <c r="C864" s="1">
        <v>5.0</v>
      </c>
      <c r="D864" s="1" t="s">
        <v>21</v>
      </c>
      <c r="E864" s="1">
        <v>42723.52445781024</v>
      </c>
      <c r="F864" s="1">
        <v>37112.98505699026</v>
      </c>
      <c r="G864" s="1">
        <v>1016.0</v>
      </c>
      <c r="H864" s="1">
        <v>42.05</v>
      </c>
      <c r="I864" s="1">
        <v>36.53</v>
      </c>
      <c r="J864" s="1">
        <v>5.52</v>
      </c>
      <c r="K864" s="1">
        <v>13.13</v>
      </c>
      <c r="L864" s="1">
        <f t="shared" si="1"/>
        <v>5610.539401</v>
      </c>
      <c r="M864" s="1" t="str">
        <f t="shared" si="2"/>
        <v>Regular</v>
      </c>
      <c r="N864" s="1">
        <f t="shared" si="3"/>
        <v>42.05071305</v>
      </c>
      <c r="O864" s="1">
        <f t="shared" si="4"/>
        <v>36.56819617</v>
      </c>
      <c r="P864" s="4">
        <f t="shared" si="5"/>
        <v>-0.003768400218</v>
      </c>
    </row>
    <row r="865" ht="15.75" customHeight="1">
      <c r="A865" s="3">
        <v>42501.0</v>
      </c>
      <c r="B865" s="1">
        <v>2016.0</v>
      </c>
      <c r="C865" s="1">
        <v>5.0</v>
      </c>
      <c r="D865" s="1" t="s">
        <v>21</v>
      </c>
      <c r="E865" s="1">
        <v>35014.39948113025</v>
      </c>
      <c r="F865" s="1">
        <v>30393.74011981647</v>
      </c>
      <c r="G865" s="1">
        <v>832.0</v>
      </c>
      <c r="H865" s="1">
        <v>42.08</v>
      </c>
      <c r="I865" s="1">
        <v>36.53</v>
      </c>
      <c r="J865" s="1">
        <v>5.55</v>
      </c>
      <c r="K865" s="1">
        <v>13.2</v>
      </c>
      <c r="L865" s="1">
        <f t="shared" si="1"/>
        <v>4620.659361</v>
      </c>
      <c r="M865" s="1" t="str">
        <f t="shared" si="2"/>
        <v>Regular</v>
      </c>
      <c r="N865" s="1">
        <f t="shared" si="3"/>
        <v>42.08461476</v>
      </c>
      <c r="O865" s="1">
        <f t="shared" si="4"/>
        <v>36.56825581</v>
      </c>
      <c r="P865" s="4">
        <f t="shared" si="5"/>
        <v>-0.004002897713</v>
      </c>
    </row>
    <row r="866" ht="15.75" customHeight="1">
      <c r="A866" s="3">
        <v>42502.0</v>
      </c>
      <c r="B866" s="1">
        <v>2016.0</v>
      </c>
      <c r="C866" s="1">
        <v>5.0</v>
      </c>
      <c r="D866" s="1" t="s">
        <v>21</v>
      </c>
      <c r="E866" s="1">
        <v>27210.406631640122</v>
      </c>
      <c r="F866" s="1">
        <v>23570.159155417456</v>
      </c>
      <c r="G866" s="1">
        <v>647.0</v>
      </c>
      <c r="H866" s="1">
        <v>42.06</v>
      </c>
      <c r="I866" s="1">
        <v>36.43</v>
      </c>
      <c r="J866" s="1">
        <v>5.63</v>
      </c>
      <c r="K866" s="1">
        <v>13.38</v>
      </c>
      <c r="L866" s="1">
        <f t="shared" si="1"/>
        <v>3640.247476</v>
      </c>
      <c r="M866" s="1" t="str">
        <f t="shared" si="2"/>
        <v>Regular</v>
      </c>
      <c r="N866" s="1">
        <f t="shared" si="3"/>
        <v>42.05626991</v>
      </c>
      <c r="O866" s="1">
        <f t="shared" si="4"/>
        <v>36.56830181</v>
      </c>
      <c r="P866" s="4">
        <f t="shared" si="5"/>
        <v>-0.004196605239</v>
      </c>
    </row>
    <row r="867" ht="15.75" customHeight="1">
      <c r="A867" s="3">
        <v>42503.0</v>
      </c>
      <c r="B867" s="1">
        <v>2016.0</v>
      </c>
      <c r="C867" s="1">
        <v>5.0</v>
      </c>
      <c r="D867" s="1" t="s">
        <v>21</v>
      </c>
      <c r="E867" s="1">
        <v>79840.0882456494</v>
      </c>
      <c r="F867" s="1">
        <v>69078.71414454262</v>
      </c>
      <c r="G867" s="1">
        <v>1898.0</v>
      </c>
      <c r="H867" s="1">
        <v>42.07</v>
      </c>
      <c r="I867" s="1">
        <v>36.4</v>
      </c>
      <c r="J867" s="1">
        <v>5.67</v>
      </c>
      <c r="K867" s="1">
        <v>13.48</v>
      </c>
      <c r="L867" s="1">
        <f t="shared" si="1"/>
        <v>10761.3741</v>
      </c>
      <c r="M867" s="1" t="str">
        <f t="shared" si="2"/>
        <v>Regular</v>
      </c>
      <c r="N867" s="1">
        <f t="shared" si="3"/>
        <v>42.06537842</v>
      </c>
      <c r="O867" s="1">
        <f t="shared" si="4"/>
        <v>36.5684346</v>
      </c>
      <c r="P867" s="4">
        <f t="shared" si="5"/>
        <v>-0.004349534642</v>
      </c>
    </row>
    <row r="868" ht="15.75" customHeight="1">
      <c r="A868" s="3">
        <v>42504.0</v>
      </c>
      <c r="B868" s="1">
        <v>2016.0</v>
      </c>
      <c r="C868" s="1">
        <v>5.0</v>
      </c>
      <c r="D868" s="1" t="s">
        <v>21</v>
      </c>
      <c r="E868" s="1">
        <v>82484.44829204916</v>
      </c>
      <c r="F868" s="1">
        <v>71426.0116447103</v>
      </c>
      <c r="G868" s="1">
        <v>1961.0</v>
      </c>
      <c r="H868" s="1">
        <v>42.06</v>
      </c>
      <c r="I868" s="1">
        <v>36.42</v>
      </c>
      <c r="J868" s="1">
        <v>5.64</v>
      </c>
      <c r="K868" s="1">
        <v>13.41</v>
      </c>
      <c r="L868" s="1">
        <f t="shared" si="1"/>
        <v>11058.43665</v>
      </c>
      <c r="M868" s="1" t="str">
        <f t="shared" si="2"/>
        <v>Regular</v>
      </c>
      <c r="N868" s="1">
        <f t="shared" si="3"/>
        <v>42.06244176</v>
      </c>
      <c r="O868" s="1">
        <f t="shared" si="4"/>
        <v>36.56892269</v>
      </c>
      <c r="P868" s="4">
        <f t="shared" si="5"/>
        <v>-0.004803498825</v>
      </c>
    </row>
    <row r="869" ht="15.75" customHeight="1">
      <c r="A869" s="3">
        <v>42505.0</v>
      </c>
      <c r="B869" s="1">
        <v>2016.0</v>
      </c>
      <c r="C869" s="1">
        <v>5.0</v>
      </c>
      <c r="D869" s="1" t="s">
        <v>21</v>
      </c>
      <c r="E869" s="1">
        <v>51497.23733643001</v>
      </c>
      <c r="F869" s="1">
        <v>44611.939679509764</v>
      </c>
      <c r="G869" s="1">
        <v>1224.0</v>
      </c>
      <c r="H869" s="1">
        <v>42.07</v>
      </c>
      <c r="I869" s="1">
        <v>36.45</v>
      </c>
      <c r="J869" s="1">
        <v>5.63</v>
      </c>
      <c r="K869" s="1">
        <v>13.37</v>
      </c>
      <c r="L869" s="1">
        <f t="shared" si="1"/>
        <v>6885.297657</v>
      </c>
      <c r="M869" s="1" t="str">
        <f t="shared" si="2"/>
        <v>Regular</v>
      </c>
      <c r="N869" s="1">
        <f t="shared" si="3"/>
        <v>42.07290632</v>
      </c>
      <c r="O869" s="1">
        <f t="shared" si="4"/>
        <v>36.56934876</v>
      </c>
      <c r="P869" s="4">
        <f t="shared" si="5"/>
        <v>-0.005273186196</v>
      </c>
    </row>
    <row r="870" ht="15.75" customHeight="1">
      <c r="A870" s="3">
        <v>42506.0</v>
      </c>
      <c r="B870" s="1">
        <v>2016.0</v>
      </c>
      <c r="C870" s="1">
        <v>5.0</v>
      </c>
      <c r="D870" s="1" t="s">
        <v>21</v>
      </c>
      <c r="E870" s="1">
        <v>42871.83286680037</v>
      </c>
      <c r="F870" s="1">
        <v>37139.30825688985</v>
      </c>
      <c r="G870" s="1">
        <v>1019.0</v>
      </c>
      <c r="H870" s="1">
        <v>42.07</v>
      </c>
      <c r="I870" s="1">
        <v>36.45</v>
      </c>
      <c r="J870" s="1">
        <v>5.63</v>
      </c>
      <c r="K870" s="1">
        <v>13.37</v>
      </c>
      <c r="L870" s="1">
        <f t="shared" si="1"/>
        <v>5732.52461</v>
      </c>
      <c r="M870" s="1" t="str">
        <f t="shared" si="2"/>
        <v>Regular</v>
      </c>
      <c r="N870" s="1">
        <f t="shared" si="3"/>
        <v>42.0724562</v>
      </c>
      <c r="O870" s="1">
        <f t="shared" si="4"/>
        <v>36.56957134</v>
      </c>
      <c r="P870" s="4">
        <f t="shared" si="5"/>
        <v>-0.005567267292</v>
      </c>
    </row>
    <row r="871" ht="15.75" customHeight="1">
      <c r="A871" s="3">
        <v>42507.0</v>
      </c>
      <c r="B871" s="1">
        <v>2016.0</v>
      </c>
      <c r="C871" s="1">
        <v>5.0</v>
      </c>
      <c r="D871" s="1" t="s">
        <v>21</v>
      </c>
      <c r="E871" s="1">
        <v>39104.63910246025</v>
      </c>
      <c r="F871" s="1">
        <v>33890.36043249631</v>
      </c>
      <c r="G871" s="1">
        <v>930.0</v>
      </c>
      <c r="H871" s="1">
        <v>42.05</v>
      </c>
      <c r="I871" s="1">
        <v>36.44</v>
      </c>
      <c r="J871" s="1">
        <v>5.61</v>
      </c>
      <c r="K871" s="1">
        <v>13.33</v>
      </c>
      <c r="L871" s="1">
        <f t="shared" si="1"/>
        <v>5214.27867</v>
      </c>
      <c r="M871" s="1" t="str">
        <f t="shared" si="2"/>
        <v>Regular</v>
      </c>
      <c r="N871" s="1">
        <f t="shared" si="3"/>
        <v>42.04799903</v>
      </c>
      <c r="O871" s="1">
        <f t="shared" si="4"/>
        <v>36.56975854</v>
      </c>
      <c r="P871" s="4">
        <f t="shared" si="5"/>
        <v>-0.005813062087</v>
      </c>
    </row>
    <row r="872" ht="15.75" customHeight="1">
      <c r="A872" s="3">
        <v>42508.0</v>
      </c>
      <c r="B872" s="1">
        <v>2016.0</v>
      </c>
      <c r="C872" s="1">
        <v>5.0</v>
      </c>
      <c r="D872" s="1" t="s">
        <v>21</v>
      </c>
      <c r="E872" s="1">
        <v>34406.750005710244</v>
      </c>
      <c r="F872" s="1">
        <v>29884.330589367586</v>
      </c>
      <c r="G872" s="1">
        <v>818.0</v>
      </c>
      <c r="H872" s="1">
        <v>42.06</v>
      </c>
      <c r="I872" s="1">
        <v>36.53</v>
      </c>
      <c r="J872" s="1">
        <v>5.53</v>
      </c>
      <c r="K872" s="1">
        <v>13.14</v>
      </c>
      <c r="L872" s="1">
        <f t="shared" si="1"/>
        <v>4522.419416</v>
      </c>
      <c r="M872" s="1" t="str">
        <f t="shared" si="2"/>
        <v>Regular</v>
      </c>
      <c r="N872" s="1">
        <f t="shared" si="3"/>
        <v>42.06204157</v>
      </c>
      <c r="O872" s="1">
        <f t="shared" si="4"/>
        <v>36.56993766</v>
      </c>
      <c r="P872" s="4">
        <f t="shared" si="5"/>
        <v>-0.006037417612</v>
      </c>
    </row>
    <row r="873" ht="15.75" customHeight="1">
      <c r="A873" s="3">
        <v>42509.0</v>
      </c>
      <c r="B873" s="1">
        <v>2016.0</v>
      </c>
      <c r="C873" s="1">
        <v>5.0</v>
      </c>
      <c r="D873" s="1" t="s">
        <v>21</v>
      </c>
      <c r="E873" s="1">
        <v>39403.658560350246</v>
      </c>
      <c r="F873" s="1">
        <v>34229.631915798505</v>
      </c>
      <c r="G873" s="1">
        <v>937.0</v>
      </c>
      <c r="H873" s="1">
        <v>42.05</v>
      </c>
      <c r="I873" s="1">
        <v>36.53</v>
      </c>
      <c r="J873" s="1">
        <v>5.52</v>
      </c>
      <c r="K873" s="1">
        <v>13.13</v>
      </c>
      <c r="L873" s="1">
        <f t="shared" si="1"/>
        <v>5174.026645</v>
      </c>
      <c r="M873" s="1" t="str">
        <f t="shared" si="2"/>
        <v>Regular</v>
      </c>
      <c r="N873" s="1">
        <f t="shared" si="3"/>
        <v>42.0529974</v>
      </c>
      <c r="O873" s="1">
        <f t="shared" si="4"/>
        <v>36.5699825</v>
      </c>
      <c r="P873" s="4">
        <f t="shared" si="5"/>
        <v>-0.006232717337</v>
      </c>
    </row>
    <row r="874" ht="15.75" customHeight="1">
      <c r="A874" s="3">
        <v>42510.0</v>
      </c>
      <c r="B874" s="1">
        <v>2016.0</v>
      </c>
      <c r="C874" s="1">
        <v>5.0</v>
      </c>
      <c r="D874" s="1" t="s">
        <v>21</v>
      </c>
      <c r="E874" s="1">
        <v>96830.90242373844</v>
      </c>
      <c r="F874" s="1">
        <v>83926.00349883473</v>
      </c>
      <c r="G874" s="1">
        <v>2302.0</v>
      </c>
      <c r="H874" s="1">
        <v>42.06</v>
      </c>
      <c r="I874" s="1">
        <v>36.46</v>
      </c>
      <c r="J874" s="1">
        <v>5.61</v>
      </c>
      <c r="K874" s="1">
        <v>13.33</v>
      </c>
      <c r="L874" s="1">
        <f t="shared" si="1"/>
        <v>12904.89892</v>
      </c>
      <c r="M874" s="1" t="str">
        <f t="shared" si="2"/>
        <v>Regular</v>
      </c>
      <c r="N874" s="1">
        <f t="shared" si="3"/>
        <v>42.06381513</v>
      </c>
      <c r="O874" s="1">
        <f t="shared" si="4"/>
        <v>36.57003726</v>
      </c>
      <c r="P874" s="4">
        <f t="shared" si="5"/>
        <v>-0.006456848793</v>
      </c>
    </row>
    <row r="875" ht="15.75" customHeight="1">
      <c r="A875" s="3">
        <v>42511.0</v>
      </c>
      <c r="B875" s="1">
        <v>2016.0</v>
      </c>
      <c r="C875" s="1">
        <v>5.0</v>
      </c>
      <c r="D875" s="1" t="s">
        <v>21</v>
      </c>
      <c r="E875" s="1">
        <v>99380.3945973283</v>
      </c>
      <c r="F875" s="1">
        <v>86179.5133871843</v>
      </c>
      <c r="G875" s="1">
        <v>2363.0</v>
      </c>
      <c r="H875" s="1">
        <v>42.06</v>
      </c>
      <c r="I875" s="1">
        <v>36.47</v>
      </c>
      <c r="J875" s="1">
        <v>5.59</v>
      </c>
      <c r="K875" s="1">
        <v>13.28</v>
      </c>
      <c r="L875" s="1">
        <f t="shared" si="1"/>
        <v>13200.88121</v>
      </c>
      <c r="M875" s="1" t="str">
        <f t="shared" si="2"/>
        <v>Regular</v>
      </c>
      <c r="N875" s="1">
        <f t="shared" si="3"/>
        <v>42.05687457</v>
      </c>
      <c r="O875" s="1">
        <f t="shared" si="4"/>
        <v>36.57042663</v>
      </c>
      <c r="P875" s="4">
        <f t="shared" si="5"/>
        <v>-0.007018644496</v>
      </c>
    </row>
    <row r="876" ht="15.75" customHeight="1">
      <c r="A876" s="3">
        <v>42512.0</v>
      </c>
      <c r="B876" s="1">
        <v>2016.0</v>
      </c>
      <c r="C876" s="1">
        <v>5.0</v>
      </c>
      <c r="D876" s="1" t="s">
        <v>21</v>
      </c>
      <c r="E876" s="1">
        <v>61656.18133406976</v>
      </c>
      <c r="F876" s="1">
        <v>53463.73455783506</v>
      </c>
      <c r="G876" s="1">
        <v>1466.0</v>
      </c>
      <c r="H876" s="1">
        <v>42.06</v>
      </c>
      <c r="I876" s="1">
        <v>36.47</v>
      </c>
      <c r="J876" s="1">
        <v>5.59</v>
      </c>
      <c r="K876" s="1">
        <v>13.29</v>
      </c>
      <c r="L876" s="1">
        <f t="shared" si="1"/>
        <v>8192.446776</v>
      </c>
      <c r="M876" s="1" t="str">
        <f t="shared" si="2"/>
        <v>Regular</v>
      </c>
      <c r="N876" s="1">
        <f t="shared" si="3"/>
        <v>42.05742247</v>
      </c>
      <c r="O876" s="1">
        <f t="shared" si="4"/>
        <v>36.57078437</v>
      </c>
      <c r="P876" s="4">
        <f t="shared" si="5"/>
        <v>-0.007598122871</v>
      </c>
    </row>
    <row r="877" ht="15.75" customHeight="1">
      <c r="A877" s="3">
        <v>42513.0</v>
      </c>
      <c r="B877" s="1">
        <v>2016.0</v>
      </c>
      <c r="C877" s="1">
        <v>5.0</v>
      </c>
      <c r="D877" s="1" t="s">
        <v>21</v>
      </c>
      <c r="E877" s="1">
        <v>69163.55736557952</v>
      </c>
      <c r="F877" s="1">
        <v>59948.43870753554</v>
      </c>
      <c r="G877" s="1">
        <v>1644.0</v>
      </c>
      <c r="H877" s="1">
        <v>42.07</v>
      </c>
      <c r="I877" s="1">
        <v>36.46</v>
      </c>
      <c r="J877" s="1">
        <v>5.61</v>
      </c>
      <c r="K877" s="1">
        <v>13.32</v>
      </c>
      <c r="L877" s="1">
        <f t="shared" si="1"/>
        <v>9215.118658</v>
      </c>
      <c r="M877" s="1" t="str">
        <f t="shared" si="2"/>
        <v>Regular</v>
      </c>
      <c r="N877" s="1">
        <f t="shared" si="3"/>
        <v>42.07029037</v>
      </c>
      <c r="O877" s="1">
        <f t="shared" si="4"/>
        <v>36.57101041</v>
      </c>
      <c r="P877" s="4">
        <f t="shared" si="5"/>
        <v>-0.007960161011</v>
      </c>
    </row>
    <row r="878" ht="15.75" customHeight="1">
      <c r="A878" s="3">
        <v>42514.0</v>
      </c>
      <c r="B878" s="1">
        <v>2016.0</v>
      </c>
      <c r="C878" s="1">
        <v>5.0</v>
      </c>
      <c r="D878" s="1" t="s">
        <v>21</v>
      </c>
      <c r="E878" s="1">
        <v>113112.86502110964</v>
      </c>
      <c r="F878" s="1">
        <v>117414.69892968478</v>
      </c>
      <c r="G878" s="1">
        <v>3224.0</v>
      </c>
      <c r="H878" s="1">
        <v>35.08</v>
      </c>
      <c r="I878" s="1">
        <v>36.42</v>
      </c>
      <c r="J878" s="1">
        <v>-1.33</v>
      </c>
      <c r="K878" s="1">
        <v>-3.8</v>
      </c>
      <c r="L878" s="1">
        <f t="shared" si="1"/>
        <v>-4301.833909</v>
      </c>
      <c r="M878" s="1" t="str">
        <f t="shared" si="2"/>
        <v>ON SALE</v>
      </c>
      <c r="N878" s="1">
        <f t="shared" si="3"/>
        <v>35.08463555</v>
      </c>
      <c r="O878" s="1">
        <f t="shared" si="4"/>
        <v>36.57127542</v>
      </c>
      <c r="P878" s="4">
        <f t="shared" si="5"/>
        <v>-0.008369562991</v>
      </c>
    </row>
    <row r="879" ht="15.75" customHeight="1">
      <c r="A879" s="3">
        <v>42515.0</v>
      </c>
      <c r="B879" s="1">
        <v>2016.0</v>
      </c>
      <c r="C879" s="1">
        <v>5.0</v>
      </c>
      <c r="D879" s="1" t="s">
        <v>21</v>
      </c>
      <c r="E879" s="1">
        <v>253686.30245358607</v>
      </c>
      <c r="F879" s="1">
        <v>268974.57069396524</v>
      </c>
      <c r="G879" s="1">
        <v>7392.0</v>
      </c>
      <c r="H879" s="1">
        <v>34.32</v>
      </c>
      <c r="I879" s="1">
        <v>36.39</v>
      </c>
      <c r="J879" s="1">
        <v>-2.07</v>
      </c>
      <c r="K879" s="1">
        <v>-6.03</v>
      </c>
      <c r="L879" s="1">
        <f t="shared" si="1"/>
        <v>-15288.26824</v>
      </c>
      <c r="M879" s="1" t="str">
        <f t="shared" si="2"/>
        <v>ON SALE</v>
      </c>
      <c r="N879" s="1">
        <f t="shared" si="3"/>
        <v>34.31903442</v>
      </c>
      <c r="O879" s="1">
        <f t="shared" si="4"/>
        <v>36.57202578</v>
      </c>
      <c r="P879" s="4">
        <f t="shared" si="5"/>
        <v>-0.008228237237</v>
      </c>
    </row>
    <row r="880" ht="15.75" customHeight="1">
      <c r="A880" s="3">
        <v>42516.0</v>
      </c>
      <c r="B880" s="1">
        <v>2016.0</v>
      </c>
      <c r="C880" s="1">
        <v>5.0</v>
      </c>
      <c r="D880" s="1" t="s">
        <v>21</v>
      </c>
      <c r="E880" s="1">
        <v>210305.29194403623</v>
      </c>
      <c r="F880" s="1">
        <v>223289.08457385484</v>
      </c>
      <c r="G880" s="1">
        <v>6138.0</v>
      </c>
      <c r="H880" s="1">
        <v>34.26</v>
      </c>
      <c r="I880" s="1">
        <v>36.38</v>
      </c>
      <c r="J880" s="1">
        <v>-2.12</v>
      </c>
      <c r="K880" s="1">
        <v>-6.17</v>
      </c>
      <c r="L880" s="1">
        <f t="shared" si="1"/>
        <v>-12983.79263</v>
      </c>
      <c r="M880" s="1" t="str">
        <f t="shared" si="2"/>
        <v>ON SALE</v>
      </c>
      <c r="N880" s="1">
        <f t="shared" si="3"/>
        <v>34.26283675</v>
      </c>
      <c r="O880" s="1">
        <f t="shared" si="4"/>
        <v>36.57413652</v>
      </c>
      <c r="P880" s="4">
        <f t="shared" si="5"/>
        <v>-0.007666179795</v>
      </c>
    </row>
    <row r="881" ht="15.75" customHeight="1">
      <c r="A881" s="3">
        <v>42517.0</v>
      </c>
      <c r="B881" s="1">
        <v>2016.0</v>
      </c>
      <c r="C881" s="1">
        <v>5.0</v>
      </c>
      <c r="D881" s="1" t="s">
        <v>21</v>
      </c>
      <c r="E881" s="1">
        <v>364087.4242999305</v>
      </c>
      <c r="F881" s="1">
        <v>386499.8964291865</v>
      </c>
      <c r="G881" s="1">
        <v>10624.0</v>
      </c>
      <c r="H881" s="1">
        <v>34.27</v>
      </c>
      <c r="I881" s="1">
        <v>36.38</v>
      </c>
      <c r="J881" s="1">
        <v>-2.11</v>
      </c>
      <c r="K881" s="1">
        <v>-6.16</v>
      </c>
      <c r="L881" s="1">
        <f t="shared" si="1"/>
        <v>-22412.47213</v>
      </c>
      <c r="M881" s="1" t="str">
        <f t="shared" si="2"/>
        <v>ON SALE</v>
      </c>
      <c r="N881" s="1">
        <f t="shared" si="3"/>
        <v>34.27027714</v>
      </c>
      <c r="O881" s="1">
        <f t="shared" si="4"/>
        <v>36.57601337</v>
      </c>
      <c r="P881" s="4">
        <f t="shared" si="5"/>
        <v>-0.007177635401</v>
      </c>
    </row>
    <row r="882" ht="15.75" customHeight="1">
      <c r="A882" s="3">
        <v>42518.0</v>
      </c>
      <c r="B882" s="1">
        <v>2016.0</v>
      </c>
      <c r="C882" s="1">
        <v>5.0</v>
      </c>
      <c r="D882" s="1" t="s">
        <v>21</v>
      </c>
      <c r="E882" s="1">
        <v>397480.3694745255</v>
      </c>
      <c r="F882" s="1">
        <v>421674.1018697652</v>
      </c>
      <c r="G882" s="1">
        <v>11590.0</v>
      </c>
      <c r="H882" s="1">
        <v>34.3</v>
      </c>
      <c r="I882" s="1">
        <v>36.38</v>
      </c>
      <c r="J882" s="1">
        <v>-2.09</v>
      </c>
      <c r="K882" s="1">
        <v>-6.09</v>
      </c>
      <c r="L882" s="1">
        <f t="shared" si="1"/>
        <v>-24193.7324</v>
      </c>
      <c r="M882" s="1" t="str">
        <f t="shared" si="2"/>
        <v>ON SALE</v>
      </c>
      <c r="N882" s="1">
        <f t="shared" si="3"/>
        <v>34.29511385</v>
      </c>
      <c r="O882" s="1">
        <f t="shared" si="4"/>
        <v>36.57931906</v>
      </c>
      <c r="P882" s="4">
        <f t="shared" si="5"/>
        <v>-0.006313506746</v>
      </c>
    </row>
    <row r="883" ht="15.75" customHeight="1">
      <c r="A883" s="3">
        <v>42519.0</v>
      </c>
      <c r="B883" s="1">
        <v>2016.0</v>
      </c>
      <c r="C883" s="1">
        <v>5.0</v>
      </c>
      <c r="D883" s="1" t="s">
        <v>21</v>
      </c>
      <c r="E883" s="1">
        <v>204028.17675735243</v>
      </c>
      <c r="F883" s="1">
        <v>216777.31572566376</v>
      </c>
      <c r="G883" s="1">
        <v>5959.0</v>
      </c>
      <c r="H883" s="1">
        <v>34.24</v>
      </c>
      <c r="I883" s="1">
        <v>36.38</v>
      </c>
      <c r="J883" s="1">
        <v>-2.14</v>
      </c>
      <c r="K883" s="1">
        <v>-6.25</v>
      </c>
      <c r="L883" s="1">
        <f t="shared" si="1"/>
        <v>-12749.13897</v>
      </c>
      <c r="M883" s="1" t="str">
        <f t="shared" si="2"/>
        <v>ON SALE</v>
      </c>
      <c r="N883" s="1">
        <f t="shared" si="3"/>
        <v>34.2386603</v>
      </c>
      <c r="O883" s="1">
        <f t="shared" si="4"/>
        <v>36.58300431</v>
      </c>
      <c r="P883" s="4">
        <f t="shared" si="5"/>
        <v>-0.005350397726</v>
      </c>
    </row>
    <row r="884" ht="15.75" customHeight="1">
      <c r="A884" s="3">
        <v>42520.0</v>
      </c>
      <c r="B884" s="1">
        <v>2016.0</v>
      </c>
      <c r="C884" s="1">
        <v>5.0</v>
      </c>
      <c r="D884" s="1" t="s">
        <v>21</v>
      </c>
      <c r="E884" s="1">
        <v>172797.9351344664</v>
      </c>
      <c r="F884" s="1">
        <v>183715.80719950752</v>
      </c>
      <c r="G884" s="1">
        <v>5048.0</v>
      </c>
      <c r="H884" s="1">
        <v>34.23</v>
      </c>
      <c r="I884" s="1">
        <v>36.39</v>
      </c>
      <c r="J884" s="1">
        <v>-2.16</v>
      </c>
      <c r="K884" s="1">
        <v>-6.32</v>
      </c>
      <c r="L884" s="1">
        <f t="shared" si="1"/>
        <v>-10917.87207</v>
      </c>
      <c r="M884" s="1" t="str">
        <f t="shared" si="2"/>
        <v>ON SALE</v>
      </c>
      <c r="N884" s="1">
        <f t="shared" si="3"/>
        <v>34.23096972</v>
      </c>
      <c r="O884" s="1">
        <f t="shared" si="4"/>
        <v>36.58499656</v>
      </c>
      <c r="P884" s="4">
        <f t="shared" si="5"/>
        <v>-0.004827892694</v>
      </c>
    </row>
    <row r="885" ht="15.75" customHeight="1">
      <c r="A885" s="3">
        <v>42521.0</v>
      </c>
      <c r="B885" s="1">
        <v>2016.0</v>
      </c>
      <c r="C885" s="1">
        <v>5.0</v>
      </c>
      <c r="D885" s="1" t="s">
        <v>21</v>
      </c>
      <c r="E885" s="1">
        <v>258970.65411018487</v>
      </c>
      <c r="F885" s="1">
        <v>274386.0154347705</v>
      </c>
      <c r="G885" s="1">
        <v>7542.0</v>
      </c>
      <c r="H885" s="1">
        <v>34.34</v>
      </c>
      <c r="I885" s="1">
        <v>36.38</v>
      </c>
      <c r="J885" s="1">
        <v>-2.04</v>
      </c>
      <c r="K885" s="1">
        <v>-5.95</v>
      </c>
      <c r="L885" s="1">
        <f t="shared" si="1"/>
        <v>-15415.36132</v>
      </c>
      <c r="M885" s="1" t="str">
        <f t="shared" si="2"/>
        <v>ON SALE</v>
      </c>
      <c r="N885" s="1">
        <f t="shared" si="3"/>
        <v>34.33713261</v>
      </c>
      <c r="O885" s="1">
        <f t="shared" si="4"/>
        <v>36.58658485</v>
      </c>
      <c r="P885" s="4">
        <f t="shared" si="5"/>
        <v>-0.004372403505</v>
      </c>
    </row>
    <row r="886" ht="15.75" customHeight="1">
      <c r="A886" s="3">
        <v>42522.0</v>
      </c>
      <c r="B886" s="1">
        <v>2016.0</v>
      </c>
      <c r="C886" s="1">
        <v>6.0</v>
      </c>
      <c r="D886" s="1" t="s">
        <v>22</v>
      </c>
      <c r="E886" s="1">
        <v>368789.5726219706</v>
      </c>
      <c r="F886" s="1">
        <v>391923.65961429186</v>
      </c>
      <c r="G886" s="1">
        <v>10761.0</v>
      </c>
      <c r="H886" s="1">
        <v>34.27</v>
      </c>
      <c r="I886" s="1">
        <v>36.42</v>
      </c>
      <c r="J886" s="1">
        <v>-2.15</v>
      </c>
      <c r="K886" s="1">
        <v>-6.27</v>
      </c>
      <c r="L886" s="1">
        <f t="shared" si="1"/>
        <v>-23134.08699</v>
      </c>
      <c r="M886" s="1" t="str">
        <f t="shared" si="2"/>
        <v>ON SALE</v>
      </c>
      <c r="N886" s="1">
        <f t="shared" si="3"/>
        <v>34.27093882</v>
      </c>
      <c r="O886" s="1">
        <f t="shared" si="4"/>
        <v>36.58916738</v>
      </c>
      <c r="P886" s="4">
        <f t="shared" si="5"/>
        <v>-0.003719585077</v>
      </c>
    </row>
    <row r="887" ht="15.75" customHeight="1">
      <c r="A887" s="3">
        <v>42523.0</v>
      </c>
      <c r="B887" s="1">
        <v>2016.0</v>
      </c>
      <c r="C887" s="1">
        <v>6.0</v>
      </c>
      <c r="D887" s="1" t="s">
        <v>22</v>
      </c>
      <c r="E887" s="1">
        <v>278071.38656924595</v>
      </c>
      <c r="F887" s="1">
        <v>295548.24164090335</v>
      </c>
      <c r="G887" s="1">
        <v>8120.0</v>
      </c>
      <c r="H887" s="1">
        <v>34.25</v>
      </c>
      <c r="I887" s="1">
        <v>36.4</v>
      </c>
      <c r="J887" s="1">
        <v>-2.15</v>
      </c>
      <c r="K887" s="1">
        <v>-6.29</v>
      </c>
      <c r="L887" s="1">
        <f t="shared" si="1"/>
        <v>-17476.85507</v>
      </c>
      <c r="M887" s="1" t="str">
        <f t="shared" si="2"/>
        <v>ON SALE</v>
      </c>
      <c r="N887" s="1">
        <f t="shared" si="3"/>
        <v>34.24524465</v>
      </c>
      <c r="O887" s="1">
        <f t="shared" si="4"/>
        <v>36.59224218</v>
      </c>
      <c r="P887" s="4">
        <f t="shared" si="5"/>
        <v>-0.002707865196</v>
      </c>
    </row>
    <row r="888" ht="15.75" customHeight="1">
      <c r="A888" s="3">
        <v>42524.0</v>
      </c>
      <c r="B888" s="1">
        <v>2016.0</v>
      </c>
      <c r="C888" s="1">
        <v>6.0</v>
      </c>
      <c r="D888" s="1" t="s">
        <v>22</v>
      </c>
      <c r="E888" s="1">
        <v>373959.36203922686</v>
      </c>
      <c r="F888" s="1">
        <v>396324.1786662704</v>
      </c>
      <c r="G888" s="1">
        <v>10896.0</v>
      </c>
      <c r="H888" s="1">
        <v>34.32</v>
      </c>
      <c r="I888" s="1">
        <v>36.37</v>
      </c>
      <c r="J888" s="1">
        <v>-2.05</v>
      </c>
      <c r="K888" s="1">
        <v>-5.98</v>
      </c>
      <c r="L888" s="1">
        <f t="shared" si="1"/>
        <v>-22364.81663</v>
      </c>
      <c r="M888" s="1" t="str">
        <f t="shared" si="2"/>
        <v>ON SALE</v>
      </c>
      <c r="N888" s="1">
        <f t="shared" si="3"/>
        <v>34.32079314</v>
      </c>
      <c r="O888" s="1">
        <f t="shared" si="4"/>
        <v>36.5949615</v>
      </c>
      <c r="P888" s="4">
        <f t="shared" si="5"/>
        <v>-0.001920198548</v>
      </c>
    </row>
    <row r="889" ht="15.75" customHeight="1">
      <c r="A889" s="3">
        <v>42525.0</v>
      </c>
      <c r="B889" s="1">
        <v>2016.0</v>
      </c>
      <c r="C889" s="1">
        <v>6.0</v>
      </c>
      <c r="D889" s="1" t="s">
        <v>22</v>
      </c>
      <c r="E889" s="1">
        <v>402057.2528885355</v>
      </c>
      <c r="F889" s="1">
        <v>426466.1321765913</v>
      </c>
      <c r="G889" s="1">
        <v>11726.0</v>
      </c>
      <c r="H889" s="1">
        <v>34.29</v>
      </c>
      <c r="I889" s="1">
        <v>36.37</v>
      </c>
      <c r="J889" s="1">
        <v>-2.08</v>
      </c>
      <c r="K889" s="1">
        <v>-6.07</v>
      </c>
      <c r="L889" s="1">
        <f t="shared" si="1"/>
        <v>-24408.87929</v>
      </c>
      <c r="M889" s="1" t="str">
        <f t="shared" si="2"/>
        <v>ON SALE</v>
      </c>
      <c r="N889" s="1">
        <f t="shared" si="3"/>
        <v>34.28767294</v>
      </c>
      <c r="O889" s="1">
        <f t="shared" si="4"/>
        <v>36.59919445</v>
      </c>
      <c r="P889" s="4">
        <f t="shared" si="5"/>
        <v>-0.0008823944552</v>
      </c>
    </row>
    <row r="890" ht="15.75" customHeight="1">
      <c r="A890" s="3">
        <v>42526.0</v>
      </c>
      <c r="B890" s="1">
        <v>2016.0</v>
      </c>
      <c r="C890" s="1">
        <v>6.0</v>
      </c>
      <c r="D890" s="1" t="s">
        <v>22</v>
      </c>
      <c r="E890" s="1">
        <v>205719.45323581624</v>
      </c>
      <c r="F890" s="1">
        <v>218408.1820732757</v>
      </c>
      <c r="G890" s="1">
        <v>6007.0</v>
      </c>
      <c r="H890" s="1">
        <v>34.25</v>
      </c>
      <c r="I890" s="1">
        <v>36.36</v>
      </c>
      <c r="J890" s="1">
        <v>-2.11</v>
      </c>
      <c r="K890" s="1">
        <v>-6.17</v>
      </c>
      <c r="L890" s="1">
        <f t="shared" si="1"/>
        <v>-12688.72884</v>
      </c>
      <c r="M890" s="1" t="str">
        <f t="shared" si="2"/>
        <v>ON SALE</v>
      </c>
      <c r="N890" s="1">
        <f t="shared" si="3"/>
        <v>34.24662115</v>
      </c>
      <c r="O890" s="1">
        <f t="shared" si="4"/>
        <v>36.60402009</v>
      </c>
      <c r="P890" s="4">
        <f t="shared" si="5"/>
        <v>0.00029349141</v>
      </c>
    </row>
    <row r="891" ht="15.75" customHeight="1">
      <c r="A891" s="3">
        <v>42527.0</v>
      </c>
      <c r="B891" s="1">
        <v>2016.0</v>
      </c>
      <c r="C891" s="1">
        <v>6.0</v>
      </c>
      <c r="D891" s="1" t="s">
        <v>22</v>
      </c>
      <c r="E891" s="1">
        <v>177626.95012448638</v>
      </c>
      <c r="F891" s="1">
        <v>188629.75422590197</v>
      </c>
      <c r="G891" s="1">
        <v>5185.0</v>
      </c>
      <c r="H891" s="1">
        <v>34.26</v>
      </c>
      <c r="I891" s="1">
        <v>36.38</v>
      </c>
      <c r="J891" s="1">
        <v>-2.12</v>
      </c>
      <c r="K891" s="1">
        <v>-6.19</v>
      </c>
      <c r="L891" s="1">
        <f t="shared" si="1"/>
        <v>-11002.8041</v>
      </c>
      <c r="M891" s="1" t="str">
        <f t="shared" si="2"/>
        <v>ON SALE</v>
      </c>
      <c r="N891" s="1">
        <f t="shared" si="3"/>
        <v>34.25784959</v>
      </c>
      <c r="O891" s="1">
        <f t="shared" si="4"/>
        <v>36.60668379</v>
      </c>
      <c r="P891" s="4">
        <f t="shared" si="5"/>
        <v>0.0009230632662</v>
      </c>
    </row>
    <row r="892" ht="15.75" customHeight="1">
      <c r="A892" s="3">
        <v>42528.0</v>
      </c>
      <c r="B892" s="1">
        <v>2016.0</v>
      </c>
      <c r="C892" s="1">
        <v>6.0</v>
      </c>
      <c r="D892" s="1" t="s">
        <v>22</v>
      </c>
      <c r="E892" s="1">
        <v>70441.9074122394</v>
      </c>
      <c r="F892" s="1">
        <v>60910.748400180244</v>
      </c>
      <c r="G892" s="1">
        <v>1675.0</v>
      </c>
      <c r="H892" s="1">
        <v>42.05</v>
      </c>
      <c r="I892" s="1">
        <v>36.36</v>
      </c>
      <c r="J892" s="1">
        <v>5.69</v>
      </c>
      <c r="K892" s="1">
        <v>13.53</v>
      </c>
      <c r="L892" s="1">
        <f t="shared" si="1"/>
        <v>9531.159012</v>
      </c>
      <c r="M892" s="1" t="str">
        <f t="shared" si="2"/>
        <v>Regular</v>
      </c>
      <c r="N892" s="1">
        <f t="shared" si="3"/>
        <v>42.0548701</v>
      </c>
      <c r="O892" s="1">
        <f t="shared" si="4"/>
        <v>36.60883157</v>
      </c>
      <c r="P892" s="4">
        <f t="shared" si="5"/>
        <v>0.001479376235</v>
      </c>
    </row>
    <row r="893" ht="15.75" customHeight="1">
      <c r="A893" s="3">
        <v>42529.0</v>
      </c>
      <c r="B893" s="1">
        <v>2016.0</v>
      </c>
      <c r="C893" s="1">
        <v>6.0</v>
      </c>
      <c r="D893" s="1" t="s">
        <v>22</v>
      </c>
      <c r="E893" s="1">
        <v>162923.84958070016</v>
      </c>
      <c r="F893" s="1">
        <v>173292.68113445412</v>
      </c>
      <c r="G893" s="1">
        <v>4765.0</v>
      </c>
      <c r="H893" s="1">
        <v>34.19</v>
      </c>
      <c r="I893" s="1">
        <v>36.37</v>
      </c>
      <c r="J893" s="1">
        <v>-2.18</v>
      </c>
      <c r="K893" s="1">
        <v>-6.36</v>
      </c>
      <c r="L893" s="1">
        <f t="shared" si="1"/>
        <v>-10368.83155</v>
      </c>
      <c r="M893" s="1" t="str">
        <f t="shared" si="2"/>
        <v>ON SALE</v>
      </c>
      <c r="N893" s="1">
        <f t="shared" si="3"/>
        <v>34.19178375</v>
      </c>
      <c r="O893" s="1">
        <f t="shared" si="4"/>
        <v>36.60958099</v>
      </c>
      <c r="P893" s="4">
        <f t="shared" si="5"/>
        <v>0.001008084613</v>
      </c>
    </row>
    <row r="894" ht="15.75" customHeight="1">
      <c r="A894" s="3">
        <v>42530.0</v>
      </c>
      <c r="B894" s="1">
        <v>2016.0</v>
      </c>
      <c r="C894" s="1">
        <v>6.0</v>
      </c>
      <c r="D894" s="1" t="s">
        <v>22</v>
      </c>
      <c r="E894" s="1">
        <v>138752.5276097676</v>
      </c>
      <c r="F894" s="1">
        <v>143791.47808201626</v>
      </c>
      <c r="G894" s="1">
        <v>3953.0</v>
      </c>
      <c r="H894" s="1">
        <v>35.1</v>
      </c>
      <c r="I894" s="1">
        <v>36.38</v>
      </c>
      <c r="J894" s="1">
        <v>-1.27</v>
      </c>
      <c r="K894" s="1">
        <v>-3.63</v>
      </c>
      <c r="L894" s="1">
        <f t="shared" si="1"/>
        <v>-5038.950472</v>
      </c>
      <c r="M894" s="1" t="str">
        <f t="shared" si="2"/>
        <v>ON SALE</v>
      </c>
      <c r="N894" s="1">
        <f t="shared" si="3"/>
        <v>35.10056352</v>
      </c>
      <c r="O894" s="1">
        <f t="shared" si="4"/>
        <v>36.61171011</v>
      </c>
      <c r="P894" s="4">
        <f t="shared" si="5"/>
        <v>0.001539000297</v>
      </c>
    </row>
    <row r="895" ht="15.75" customHeight="1">
      <c r="A895" s="3">
        <v>42531.0</v>
      </c>
      <c r="B895" s="1">
        <v>2016.0</v>
      </c>
      <c r="C895" s="1">
        <v>6.0</v>
      </c>
      <c r="D895" s="1" t="s">
        <v>22</v>
      </c>
      <c r="E895" s="1">
        <v>252458.26223048882</v>
      </c>
      <c r="F895" s="1">
        <v>261502.381778564</v>
      </c>
      <c r="G895" s="1">
        <v>7190.0</v>
      </c>
      <c r="H895" s="1">
        <v>35.11</v>
      </c>
      <c r="I895" s="1">
        <v>36.37</v>
      </c>
      <c r="J895" s="1">
        <v>-1.26</v>
      </c>
      <c r="K895" s="1">
        <v>-3.58</v>
      </c>
      <c r="L895" s="1">
        <f t="shared" si="1"/>
        <v>-9044.119548</v>
      </c>
      <c r="M895" s="1" t="str">
        <f t="shared" si="2"/>
        <v>ON SALE</v>
      </c>
      <c r="N895" s="1">
        <f t="shared" si="3"/>
        <v>35.11241477</v>
      </c>
      <c r="O895" s="1">
        <f t="shared" si="4"/>
        <v>36.61345022</v>
      </c>
      <c r="P895" s="4">
        <f t="shared" si="5"/>
        <v>0.001805614815</v>
      </c>
    </row>
    <row r="896" ht="15.75" customHeight="1">
      <c r="A896" s="3">
        <v>42532.0</v>
      </c>
      <c r="B896" s="1">
        <v>2016.0</v>
      </c>
      <c r="C896" s="1">
        <v>6.0</v>
      </c>
      <c r="D896" s="1" t="s">
        <v>22</v>
      </c>
      <c r="E896" s="1">
        <v>293917.852481117</v>
      </c>
      <c r="F896" s="1">
        <v>311853.52053473576</v>
      </c>
      <c r="G896" s="1">
        <v>8577.0</v>
      </c>
      <c r="H896" s="1">
        <v>34.27</v>
      </c>
      <c r="I896" s="1">
        <v>36.36</v>
      </c>
      <c r="J896" s="1">
        <v>-2.09</v>
      </c>
      <c r="K896" s="1">
        <v>-6.1</v>
      </c>
      <c r="L896" s="1">
        <f t="shared" si="1"/>
        <v>-17935.66805</v>
      </c>
      <c r="M896" s="1" t="str">
        <f t="shared" si="2"/>
        <v>ON SALE</v>
      </c>
      <c r="N896" s="1">
        <f t="shared" si="3"/>
        <v>34.26814183</v>
      </c>
      <c r="O896" s="1">
        <f t="shared" si="4"/>
        <v>36.6167495</v>
      </c>
      <c r="P896" s="4">
        <f t="shared" si="5"/>
        <v>0.002294089077</v>
      </c>
    </row>
    <row r="897" ht="15.75" customHeight="1">
      <c r="A897" s="3">
        <v>42533.0</v>
      </c>
      <c r="B897" s="1">
        <v>2016.0</v>
      </c>
      <c r="C897" s="1">
        <v>6.0</v>
      </c>
      <c r="D897" s="1" t="s">
        <v>22</v>
      </c>
      <c r="E897" s="1">
        <v>138350.12182847515</v>
      </c>
      <c r="F897" s="1">
        <v>143346.67460602426</v>
      </c>
      <c r="G897" s="1">
        <v>3943.0</v>
      </c>
      <c r="H897" s="1">
        <v>35.09</v>
      </c>
      <c r="I897" s="1">
        <v>36.35</v>
      </c>
      <c r="J897" s="1">
        <v>-1.27</v>
      </c>
      <c r="K897" s="1">
        <v>-3.61</v>
      </c>
      <c r="L897" s="1">
        <f t="shared" si="1"/>
        <v>-4996.552778</v>
      </c>
      <c r="M897" s="1" t="str">
        <f t="shared" si="2"/>
        <v>ON SALE</v>
      </c>
      <c r="N897" s="1">
        <f t="shared" si="3"/>
        <v>35.08752773</v>
      </c>
      <c r="O897" s="1">
        <f t="shared" si="4"/>
        <v>36.62098544</v>
      </c>
      <c r="P897" s="4">
        <f t="shared" si="5"/>
        <v>0.003265668607</v>
      </c>
    </row>
    <row r="898" ht="15.75" customHeight="1">
      <c r="A898" s="3">
        <v>42534.0</v>
      </c>
      <c r="B898" s="1">
        <v>2016.0</v>
      </c>
      <c r="C898" s="1">
        <v>6.0</v>
      </c>
      <c r="D898" s="1" t="s">
        <v>22</v>
      </c>
      <c r="E898" s="1">
        <v>130067.27556419636</v>
      </c>
      <c r="F898" s="1">
        <v>134950.56648943006</v>
      </c>
      <c r="G898" s="1">
        <v>3707.0</v>
      </c>
      <c r="H898" s="1">
        <v>35.09</v>
      </c>
      <c r="I898" s="1">
        <v>36.4</v>
      </c>
      <c r="J898" s="1">
        <v>-1.32</v>
      </c>
      <c r="K898" s="1">
        <v>-3.75</v>
      </c>
      <c r="L898" s="1">
        <f t="shared" si="1"/>
        <v>-4883.290925</v>
      </c>
      <c r="M898" s="1" t="str">
        <f t="shared" si="2"/>
        <v>ON SALE</v>
      </c>
      <c r="N898" s="1">
        <f t="shared" si="3"/>
        <v>35.08693703</v>
      </c>
      <c r="O898" s="1">
        <f t="shared" si="4"/>
        <v>36.6230146</v>
      </c>
      <c r="P898" s="4">
        <f t="shared" si="5"/>
        <v>0.003552183545</v>
      </c>
    </row>
    <row r="899" ht="15.75" customHeight="1">
      <c r="A899" s="3">
        <v>42535.0</v>
      </c>
      <c r="B899" s="1">
        <v>2016.0</v>
      </c>
      <c r="C899" s="1">
        <v>6.0</v>
      </c>
      <c r="D899" s="1" t="s">
        <v>22</v>
      </c>
      <c r="E899" s="1">
        <v>107168.66107649941</v>
      </c>
      <c r="F899" s="1">
        <v>111173.15847846522</v>
      </c>
      <c r="G899" s="1">
        <v>3054.0</v>
      </c>
      <c r="H899" s="1">
        <v>35.09</v>
      </c>
      <c r="I899" s="1">
        <v>36.4</v>
      </c>
      <c r="J899" s="1">
        <v>-1.31</v>
      </c>
      <c r="K899" s="1">
        <v>-3.74</v>
      </c>
      <c r="L899" s="1">
        <f t="shared" si="1"/>
        <v>-4004.497402</v>
      </c>
      <c r="M899" s="1" t="str">
        <f t="shared" si="2"/>
        <v>ON SALE</v>
      </c>
      <c r="N899" s="1">
        <f t="shared" si="3"/>
        <v>35.09124462</v>
      </c>
      <c r="O899" s="1">
        <f t="shared" si="4"/>
        <v>36.6245933</v>
      </c>
      <c r="P899" s="4">
        <f t="shared" si="5"/>
        <v>0.003835215544</v>
      </c>
    </row>
    <row r="900" ht="15.75" customHeight="1">
      <c r="A900" s="3">
        <v>42536.0</v>
      </c>
      <c r="B900" s="1">
        <v>2016.0</v>
      </c>
      <c r="C900" s="1">
        <v>6.0</v>
      </c>
      <c r="D900" s="1" t="s">
        <v>22</v>
      </c>
      <c r="E900" s="1">
        <v>224030.55444808622</v>
      </c>
      <c r="F900" s="1">
        <v>237934.73415063298</v>
      </c>
      <c r="G900" s="1">
        <v>6541.0</v>
      </c>
      <c r="H900" s="1">
        <v>34.25</v>
      </c>
      <c r="I900" s="1">
        <v>36.38</v>
      </c>
      <c r="J900" s="1">
        <v>-2.13</v>
      </c>
      <c r="K900" s="1">
        <v>-6.21</v>
      </c>
      <c r="L900" s="1">
        <f t="shared" si="1"/>
        <v>-13904.1797</v>
      </c>
      <c r="M900" s="1" t="str">
        <f t="shared" si="2"/>
        <v>ON SALE</v>
      </c>
      <c r="N900" s="1">
        <f t="shared" si="3"/>
        <v>34.25019943</v>
      </c>
      <c r="O900" s="1">
        <f t="shared" si="4"/>
        <v>36.62592175</v>
      </c>
      <c r="P900" s="4">
        <f t="shared" si="5"/>
        <v>0.004070349241</v>
      </c>
    </row>
    <row r="901" ht="15.75" customHeight="1">
      <c r="A901" s="3">
        <v>42537.0</v>
      </c>
      <c r="B901" s="1">
        <v>2016.0</v>
      </c>
      <c r="C901" s="1">
        <v>6.0</v>
      </c>
      <c r="D901" s="1" t="s">
        <v>22</v>
      </c>
      <c r="E901" s="1">
        <v>201918.22207274396</v>
      </c>
      <c r="F901" s="1">
        <v>209095.56974137688</v>
      </c>
      <c r="G901" s="1">
        <v>5749.0</v>
      </c>
      <c r="H901" s="1">
        <v>35.12</v>
      </c>
      <c r="I901" s="1">
        <v>36.37</v>
      </c>
      <c r="J901" s="1">
        <v>-1.25</v>
      </c>
      <c r="K901" s="1">
        <v>-3.55</v>
      </c>
      <c r="L901" s="1">
        <f t="shared" si="1"/>
        <v>-7177.347669</v>
      </c>
      <c r="M901" s="1" t="str">
        <f t="shared" si="2"/>
        <v>ON SALE</v>
      </c>
      <c r="N901" s="1">
        <f t="shared" si="3"/>
        <v>35.12232076</v>
      </c>
      <c r="O901" s="1">
        <f t="shared" si="4"/>
        <v>36.62916606</v>
      </c>
      <c r="P901" s="4">
        <f t="shared" si="5"/>
        <v>0.004868856488</v>
      </c>
    </row>
    <row r="902" ht="15.75" customHeight="1">
      <c r="A902" s="3">
        <v>42538.0</v>
      </c>
      <c r="B902" s="1">
        <v>2016.0</v>
      </c>
      <c r="C902" s="1">
        <v>6.0</v>
      </c>
      <c r="D902" s="1" t="s">
        <v>22</v>
      </c>
      <c r="E902" s="1">
        <v>329344.26830316125</v>
      </c>
      <c r="F902" s="1">
        <v>341253.32963499136</v>
      </c>
      <c r="G902" s="1">
        <v>9385.0</v>
      </c>
      <c r="H902" s="1">
        <v>35.09</v>
      </c>
      <c r="I902" s="1">
        <v>36.36</v>
      </c>
      <c r="J902" s="1">
        <v>-1.27</v>
      </c>
      <c r="K902" s="1">
        <v>-3.62</v>
      </c>
      <c r="L902" s="1">
        <f t="shared" si="1"/>
        <v>-11909.06133</v>
      </c>
      <c r="M902" s="1" t="str">
        <f t="shared" si="2"/>
        <v>ON SALE</v>
      </c>
      <c r="N902" s="1">
        <f t="shared" si="3"/>
        <v>35.09262315</v>
      </c>
      <c r="O902" s="1">
        <f t="shared" si="4"/>
        <v>36.63214697</v>
      </c>
      <c r="P902" s="4">
        <f t="shared" si="5"/>
        <v>0.005313500721</v>
      </c>
    </row>
    <row r="903" ht="15.75" customHeight="1">
      <c r="A903" s="3">
        <v>42539.0</v>
      </c>
      <c r="B903" s="1">
        <v>2016.0</v>
      </c>
      <c r="C903" s="1">
        <v>6.0</v>
      </c>
      <c r="D903" s="1" t="s">
        <v>22</v>
      </c>
      <c r="E903" s="1">
        <v>308642.9772240819</v>
      </c>
      <c r="F903" s="1">
        <v>327672.04148404143</v>
      </c>
      <c r="G903" s="1">
        <v>9012.0</v>
      </c>
      <c r="H903" s="1">
        <v>34.25</v>
      </c>
      <c r="I903" s="1">
        <v>36.36</v>
      </c>
      <c r="J903" s="1">
        <v>-2.11</v>
      </c>
      <c r="K903" s="1">
        <v>-6.17</v>
      </c>
      <c r="L903" s="1">
        <f t="shared" si="1"/>
        <v>-19029.06426</v>
      </c>
      <c r="M903" s="1" t="str">
        <f t="shared" si="2"/>
        <v>ON SALE</v>
      </c>
      <c r="N903" s="1">
        <f t="shared" si="3"/>
        <v>34.24800014</v>
      </c>
      <c r="O903" s="1">
        <f t="shared" si="4"/>
        <v>36.63734043</v>
      </c>
      <c r="P903" s="4">
        <f t="shared" si="5"/>
        <v>0.006071349075</v>
      </c>
    </row>
    <row r="904" ht="15.75" customHeight="1">
      <c r="A904" s="3">
        <v>42540.0</v>
      </c>
      <c r="B904" s="1">
        <v>2016.0</v>
      </c>
      <c r="C904" s="1">
        <v>6.0</v>
      </c>
      <c r="D904" s="1" t="s">
        <v>22</v>
      </c>
      <c r="E904" s="1">
        <v>134472.40662827637</v>
      </c>
      <c r="F904" s="1">
        <v>139385.87617680742</v>
      </c>
      <c r="G904" s="1">
        <v>3831.0</v>
      </c>
      <c r="H904" s="1">
        <v>35.1</v>
      </c>
      <c r="I904" s="1">
        <v>36.38</v>
      </c>
      <c r="J904" s="1">
        <v>-1.28</v>
      </c>
      <c r="K904" s="1">
        <v>-3.65</v>
      </c>
      <c r="L904" s="1">
        <f t="shared" si="1"/>
        <v>-4913.469549</v>
      </c>
      <c r="M904" s="1" t="str">
        <f t="shared" si="2"/>
        <v>ON SALE</v>
      </c>
      <c r="N904" s="1">
        <f t="shared" si="3"/>
        <v>35.10112415</v>
      </c>
      <c r="O904" s="1">
        <f t="shared" si="4"/>
        <v>36.64255703</v>
      </c>
      <c r="P904" s="4">
        <f t="shared" si="5"/>
        <v>0.007251320067</v>
      </c>
    </row>
    <row r="905" ht="15.75" customHeight="1">
      <c r="A905" s="3">
        <v>42541.0</v>
      </c>
      <c r="B905" s="1">
        <v>2016.0</v>
      </c>
      <c r="C905" s="1">
        <v>6.0</v>
      </c>
      <c r="D905" s="1" t="s">
        <v>22</v>
      </c>
      <c r="E905" s="1">
        <v>143809.72058396638</v>
      </c>
      <c r="F905" s="1">
        <v>148953.9108532149</v>
      </c>
      <c r="G905" s="1">
        <v>4097.0</v>
      </c>
      <c r="H905" s="1">
        <v>35.1</v>
      </c>
      <c r="I905" s="1">
        <v>36.36</v>
      </c>
      <c r="J905" s="1">
        <v>-1.26</v>
      </c>
      <c r="K905" s="1">
        <v>-3.58</v>
      </c>
      <c r="L905" s="1">
        <f t="shared" si="1"/>
        <v>-5144.190269</v>
      </c>
      <c r="M905" s="1" t="str">
        <f t="shared" si="2"/>
        <v>ON SALE</v>
      </c>
      <c r="N905" s="1">
        <f t="shared" si="3"/>
        <v>35.10122543</v>
      </c>
      <c r="O905" s="1">
        <f t="shared" si="4"/>
        <v>36.64464007</v>
      </c>
      <c r="P905" s="4">
        <f t="shared" si="5"/>
        <v>0.007586272522</v>
      </c>
    </row>
    <row r="906" ht="15.75" customHeight="1">
      <c r="A906" s="3">
        <v>42542.0</v>
      </c>
      <c r="B906" s="1">
        <v>2016.0</v>
      </c>
      <c r="C906" s="1">
        <v>6.0</v>
      </c>
      <c r="D906" s="1" t="s">
        <v>22</v>
      </c>
      <c r="E906" s="1">
        <v>123252.15105584757</v>
      </c>
      <c r="F906" s="1">
        <v>127533.0092765032</v>
      </c>
      <c r="G906" s="1">
        <v>3509.0</v>
      </c>
      <c r="H906" s="1">
        <v>35.12</v>
      </c>
      <c r="I906" s="1">
        <v>36.34</v>
      </c>
      <c r="J906" s="1">
        <v>-1.22</v>
      </c>
      <c r="K906" s="1">
        <v>-3.47</v>
      </c>
      <c r="L906" s="1">
        <f t="shared" si="1"/>
        <v>-4280.858221</v>
      </c>
      <c r="M906" s="1" t="str">
        <f t="shared" si="2"/>
        <v>ON SALE</v>
      </c>
      <c r="N906" s="1">
        <f t="shared" si="3"/>
        <v>35.12457995</v>
      </c>
      <c r="O906" s="1">
        <f t="shared" si="4"/>
        <v>36.64713825</v>
      </c>
      <c r="P906" s="4">
        <f t="shared" si="5"/>
        <v>0.00794386525</v>
      </c>
    </row>
    <row r="907" ht="15.75" customHeight="1">
      <c r="A907" s="3">
        <v>42543.0</v>
      </c>
      <c r="B907" s="1">
        <v>2016.0</v>
      </c>
      <c r="C907" s="1">
        <v>6.0</v>
      </c>
      <c r="D907" s="1" t="s">
        <v>22</v>
      </c>
      <c r="E907" s="1">
        <v>40067.15121186024</v>
      </c>
      <c r="F907" s="1">
        <v>34559.084522627534</v>
      </c>
      <c r="G907" s="1">
        <v>953.0</v>
      </c>
      <c r="H907" s="1">
        <v>42.04</v>
      </c>
      <c r="I907" s="1">
        <v>36.26</v>
      </c>
      <c r="J907" s="1">
        <v>5.78</v>
      </c>
      <c r="K907" s="1">
        <v>13.75</v>
      </c>
      <c r="L907" s="1">
        <f t="shared" si="1"/>
        <v>5508.066689</v>
      </c>
      <c r="M907" s="1" t="str">
        <f t="shared" si="2"/>
        <v>Regular</v>
      </c>
      <c r="N907" s="1">
        <f t="shared" si="3"/>
        <v>42.0431807</v>
      </c>
      <c r="O907" s="1">
        <f t="shared" si="4"/>
        <v>36.6494046</v>
      </c>
      <c r="P907" s="4">
        <f t="shared" si="5"/>
        <v>0.008247676125</v>
      </c>
    </row>
    <row r="908" ht="15.75" customHeight="1">
      <c r="A908" s="3">
        <v>42544.0</v>
      </c>
      <c r="B908" s="1">
        <v>2016.0</v>
      </c>
      <c r="C908" s="1">
        <v>6.0</v>
      </c>
      <c r="D908" s="1" t="s">
        <v>22</v>
      </c>
      <c r="E908" s="1">
        <v>143752.73676064878</v>
      </c>
      <c r="F908" s="1">
        <v>155659.53374373456</v>
      </c>
      <c r="G908" s="1">
        <v>4305.0</v>
      </c>
      <c r="H908" s="1">
        <v>33.39</v>
      </c>
      <c r="I908" s="1">
        <v>36.16</v>
      </c>
      <c r="J908" s="1">
        <v>-2.77</v>
      </c>
      <c r="K908" s="1">
        <v>-8.28</v>
      </c>
      <c r="L908" s="1">
        <f t="shared" si="1"/>
        <v>-11906.79698</v>
      </c>
      <c r="M908" s="1" t="str">
        <f t="shared" si="2"/>
        <v>ON SALE</v>
      </c>
      <c r="N908" s="1">
        <f t="shared" si="3"/>
        <v>33.39204106</v>
      </c>
      <c r="O908" s="1">
        <f t="shared" si="4"/>
        <v>36.65019125</v>
      </c>
      <c r="P908" s="4">
        <f t="shared" si="5"/>
        <v>0.007947928081</v>
      </c>
    </row>
    <row r="909" ht="15.75" customHeight="1">
      <c r="A909" s="3">
        <v>42545.0</v>
      </c>
      <c r="B909" s="1">
        <v>2016.0</v>
      </c>
      <c r="C909" s="1">
        <v>6.0</v>
      </c>
      <c r="D909" s="1" t="s">
        <v>22</v>
      </c>
      <c r="E909" s="1">
        <v>389904.00855466264</v>
      </c>
      <c r="F909" s="1">
        <v>422372.5815807003</v>
      </c>
      <c r="G909" s="1">
        <v>11667.0</v>
      </c>
      <c r="H909" s="1">
        <v>33.42</v>
      </c>
      <c r="I909" s="1">
        <v>36.2</v>
      </c>
      <c r="J909" s="1">
        <v>-2.78</v>
      </c>
      <c r="K909" s="1">
        <v>-8.33</v>
      </c>
      <c r="L909" s="1">
        <f t="shared" si="1"/>
        <v>-32468.57303</v>
      </c>
      <c r="M909" s="1" t="str">
        <f t="shared" si="2"/>
        <v>ON SALE</v>
      </c>
      <c r="N909" s="1">
        <f t="shared" si="3"/>
        <v>33.41938875</v>
      </c>
      <c r="O909" s="1">
        <f t="shared" si="4"/>
        <v>36.65476664</v>
      </c>
      <c r="P909" s="4">
        <f t="shared" si="5"/>
        <v>0.008709735427</v>
      </c>
    </row>
    <row r="910" ht="15.75" customHeight="1">
      <c r="A910" s="3">
        <v>42546.0</v>
      </c>
      <c r="B910" s="1">
        <v>2016.0</v>
      </c>
      <c r="C910" s="1">
        <v>6.0</v>
      </c>
      <c r="D910" s="1" t="s">
        <v>22</v>
      </c>
      <c r="E910" s="1">
        <v>461280.78558277444</v>
      </c>
      <c r="F910" s="1">
        <v>498910.32902054384</v>
      </c>
      <c r="G910" s="1">
        <v>13793.0</v>
      </c>
      <c r="H910" s="1">
        <v>33.44</v>
      </c>
      <c r="I910" s="1">
        <v>36.17</v>
      </c>
      <c r="J910" s="1">
        <v>-2.73</v>
      </c>
      <c r="K910" s="1">
        <v>-8.16</v>
      </c>
      <c r="L910" s="1">
        <f t="shared" si="1"/>
        <v>-37629.54344</v>
      </c>
      <c r="M910" s="1" t="str">
        <f t="shared" si="2"/>
        <v>ON SALE</v>
      </c>
      <c r="N910" s="1">
        <f t="shared" si="3"/>
        <v>33.44310778</v>
      </c>
      <c r="O910" s="1">
        <f t="shared" si="4"/>
        <v>36.66645575</v>
      </c>
      <c r="P910" s="4">
        <f t="shared" si="5"/>
        <v>0.01085224005</v>
      </c>
    </row>
    <row r="911" ht="15.75" customHeight="1">
      <c r="A911" s="3">
        <v>42547.0</v>
      </c>
      <c r="B911" s="1">
        <v>2016.0</v>
      </c>
      <c r="C911" s="1">
        <v>6.0</v>
      </c>
      <c r="D911" s="1" t="s">
        <v>22</v>
      </c>
      <c r="E911" s="1">
        <v>221578.6968235614</v>
      </c>
      <c r="F911" s="1">
        <v>240449.62229152222</v>
      </c>
      <c r="G911" s="1">
        <v>6641.0</v>
      </c>
      <c r="H911" s="1">
        <v>33.37</v>
      </c>
      <c r="I911" s="1">
        <v>36.21</v>
      </c>
      <c r="J911" s="1">
        <v>-2.84</v>
      </c>
      <c r="K911" s="1">
        <v>-8.52</v>
      </c>
      <c r="L911" s="1">
        <f t="shared" si="1"/>
        <v>-18870.92547</v>
      </c>
      <c r="M911" s="1" t="str">
        <f t="shared" si="2"/>
        <v>ON SALE</v>
      </c>
      <c r="N911" s="1">
        <f t="shared" si="3"/>
        <v>33.36526078</v>
      </c>
      <c r="O911" s="1">
        <f t="shared" si="4"/>
        <v>36.68205712</v>
      </c>
      <c r="P911" s="4">
        <f t="shared" si="5"/>
        <v>0.01347140729</v>
      </c>
    </row>
    <row r="912" ht="15.75" customHeight="1">
      <c r="A912" s="3">
        <v>42548.0</v>
      </c>
      <c r="B912" s="1">
        <v>2016.0</v>
      </c>
      <c r="C912" s="1">
        <v>6.0</v>
      </c>
      <c r="D912" s="1" t="s">
        <v>22</v>
      </c>
      <c r="E912" s="1">
        <v>253702.2229766188</v>
      </c>
      <c r="F912" s="1">
        <v>274426.0802778933</v>
      </c>
      <c r="G912" s="1">
        <v>7593.0</v>
      </c>
      <c r="H912" s="1">
        <v>33.41</v>
      </c>
      <c r="I912" s="1">
        <v>36.14</v>
      </c>
      <c r="J912" s="1">
        <v>-2.73</v>
      </c>
      <c r="K912" s="1">
        <v>-8.17</v>
      </c>
      <c r="L912" s="1">
        <f t="shared" si="1"/>
        <v>-20723.8573</v>
      </c>
      <c r="M912" s="1" t="str">
        <f t="shared" si="2"/>
        <v>ON SALE</v>
      </c>
      <c r="N912" s="1">
        <f t="shared" si="3"/>
        <v>33.41264625</v>
      </c>
      <c r="O912" s="1">
        <f t="shared" si="4"/>
        <v>36.68937695</v>
      </c>
      <c r="P912" s="4">
        <f t="shared" si="5"/>
        <v>0.01483257951</v>
      </c>
    </row>
    <row r="913" ht="15.75" customHeight="1">
      <c r="A913" s="3">
        <v>42549.0</v>
      </c>
      <c r="B913" s="1">
        <v>2016.0</v>
      </c>
      <c r="C913" s="1">
        <v>6.0</v>
      </c>
      <c r="D913" s="1" t="s">
        <v>22</v>
      </c>
      <c r="E913" s="1">
        <v>200616.07618333894</v>
      </c>
      <c r="F913" s="1">
        <v>217104.57971570615</v>
      </c>
      <c r="G913" s="1">
        <v>6007.0</v>
      </c>
      <c r="H913" s="1">
        <v>33.4</v>
      </c>
      <c r="I913" s="1">
        <v>36.14</v>
      </c>
      <c r="J913" s="1">
        <v>-2.74</v>
      </c>
      <c r="K913" s="1">
        <v>-8.22</v>
      </c>
      <c r="L913" s="1">
        <f t="shared" si="1"/>
        <v>-16488.50353</v>
      </c>
      <c r="M913" s="1" t="str">
        <f t="shared" si="2"/>
        <v>ON SALE</v>
      </c>
      <c r="N913" s="1">
        <f t="shared" si="3"/>
        <v>33.39704947</v>
      </c>
      <c r="O913" s="1">
        <f t="shared" si="4"/>
        <v>36.69919</v>
      </c>
      <c r="P913" s="4">
        <f t="shared" si="5"/>
        <v>0.01638209259</v>
      </c>
    </row>
    <row r="914" ht="15.75" customHeight="1">
      <c r="A914" s="3">
        <v>42550.0</v>
      </c>
      <c r="B914" s="1">
        <v>2016.0</v>
      </c>
      <c r="C914" s="1">
        <v>6.0</v>
      </c>
      <c r="D914" s="1" t="s">
        <v>22</v>
      </c>
      <c r="E914" s="1">
        <v>211700.81315721016</v>
      </c>
      <c r="F914" s="1">
        <v>229023.8107396958</v>
      </c>
      <c r="G914" s="1">
        <v>6345.0</v>
      </c>
      <c r="H914" s="1">
        <v>33.36</v>
      </c>
      <c r="I914" s="1">
        <v>36.1</v>
      </c>
      <c r="J914" s="1">
        <v>-2.73</v>
      </c>
      <c r="K914" s="1">
        <v>-8.18</v>
      </c>
      <c r="L914" s="1">
        <f t="shared" si="1"/>
        <v>-17322.99758</v>
      </c>
      <c r="M914" s="1" t="str">
        <f t="shared" si="2"/>
        <v>ON SALE</v>
      </c>
      <c r="N914" s="1">
        <f t="shared" si="3"/>
        <v>33.36498237</v>
      </c>
      <c r="O914" s="1">
        <f t="shared" si="4"/>
        <v>36.70720695</v>
      </c>
      <c r="P914" s="4">
        <f t="shared" si="5"/>
        <v>0.01764953012</v>
      </c>
    </row>
    <row r="915" ht="15.75" customHeight="1">
      <c r="A915" s="3">
        <v>42551.0</v>
      </c>
      <c r="B915" s="1">
        <v>2016.0</v>
      </c>
      <c r="C915" s="1">
        <v>6.0</v>
      </c>
      <c r="D915" s="1" t="s">
        <v>22</v>
      </c>
      <c r="E915" s="1">
        <v>282757.71144459763</v>
      </c>
      <c r="F915" s="1">
        <v>305894.1800948237</v>
      </c>
      <c r="G915" s="1">
        <v>8482.0</v>
      </c>
      <c r="H915" s="1">
        <v>33.34</v>
      </c>
      <c r="I915" s="1">
        <v>36.06</v>
      </c>
      <c r="J915" s="1">
        <v>-2.73</v>
      </c>
      <c r="K915" s="1">
        <v>-8.18</v>
      </c>
      <c r="L915" s="1">
        <f t="shared" si="1"/>
        <v>-23136.46865</v>
      </c>
      <c r="M915" s="1" t="str">
        <f t="shared" si="2"/>
        <v>ON SALE</v>
      </c>
      <c r="N915" s="1">
        <f t="shared" si="3"/>
        <v>33.33620743</v>
      </c>
      <c r="O915" s="1">
        <f t="shared" si="4"/>
        <v>36.71665102</v>
      </c>
      <c r="P915" s="4">
        <f t="shared" si="5"/>
        <v>0.01901785485</v>
      </c>
    </row>
    <row r="916" ht="15.75" customHeight="1">
      <c r="A916" s="3">
        <v>42552.0</v>
      </c>
      <c r="B916" s="1">
        <v>2016.0</v>
      </c>
      <c r="C916" s="1">
        <v>7.0</v>
      </c>
      <c r="D916" s="1" t="s">
        <v>23</v>
      </c>
      <c r="E916" s="1">
        <v>479010.156707742</v>
      </c>
      <c r="F916" s="1">
        <v>517742.1925975364</v>
      </c>
      <c r="G916" s="1">
        <v>14344.0</v>
      </c>
      <c r="H916" s="1">
        <v>33.39</v>
      </c>
      <c r="I916" s="1">
        <v>36.09</v>
      </c>
      <c r="J916" s="1">
        <v>-2.7</v>
      </c>
      <c r="K916" s="1">
        <v>-8.09</v>
      </c>
      <c r="L916" s="1">
        <f t="shared" si="1"/>
        <v>-38732.03589</v>
      </c>
      <c r="M916" s="1" t="str">
        <f t="shared" si="2"/>
        <v>ON SALE</v>
      </c>
      <c r="N916" s="1">
        <f t="shared" si="3"/>
        <v>33.39446157</v>
      </c>
      <c r="O916" s="1">
        <f t="shared" si="4"/>
        <v>36.73039867</v>
      </c>
      <c r="P916" s="4">
        <f t="shared" si="5"/>
        <v>0.0209052061</v>
      </c>
    </row>
    <row r="917" ht="15.75" customHeight="1">
      <c r="A917" s="3">
        <v>42553.0</v>
      </c>
      <c r="B917" s="1">
        <v>2016.0</v>
      </c>
      <c r="C917" s="1">
        <v>7.0</v>
      </c>
      <c r="D917" s="1" t="s">
        <v>23</v>
      </c>
      <c r="E917" s="1">
        <v>454543.2857587894</v>
      </c>
      <c r="F917" s="1">
        <v>490487.0246492626</v>
      </c>
      <c r="G917" s="1">
        <v>13609.0</v>
      </c>
      <c r="H917" s="1">
        <v>33.4</v>
      </c>
      <c r="I917" s="1">
        <v>36.04</v>
      </c>
      <c r="J917" s="1">
        <v>-2.64</v>
      </c>
      <c r="K917" s="1">
        <v>-7.91</v>
      </c>
      <c r="L917" s="1">
        <f t="shared" si="1"/>
        <v>-35943.73889</v>
      </c>
      <c r="M917" s="1" t="str">
        <f t="shared" si="2"/>
        <v>ON SALE</v>
      </c>
      <c r="N917" s="1">
        <f t="shared" si="3"/>
        <v>33.40019735</v>
      </c>
      <c r="O917" s="1">
        <f t="shared" si="4"/>
        <v>36.75387758</v>
      </c>
      <c r="P917" s="4">
        <f t="shared" si="5"/>
        <v>0.02423736888</v>
      </c>
    </row>
    <row r="918" ht="15.75" customHeight="1">
      <c r="A918" s="3">
        <v>42554.0</v>
      </c>
      <c r="B918" s="1">
        <v>2016.0</v>
      </c>
      <c r="C918" s="1">
        <v>7.0</v>
      </c>
      <c r="D918" s="1" t="s">
        <v>23</v>
      </c>
      <c r="E918" s="1">
        <v>242185.1807025776</v>
      </c>
      <c r="F918" s="1">
        <v>261534.91203924708</v>
      </c>
      <c r="G918" s="1">
        <v>7259.0</v>
      </c>
      <c r="H918" s="1">
        <v>33.36</v>
      </c>
      <c r="I918" s="1">
        <v>36.03</v>
      </c>
      <c r="J918" s="1">
        <v>-2.67</v>
      </c>
      <c r="K918" s="1">
        <v>-7.99</v>
      </c>
      <c r="L918" s="1">
        <f t="shared" si="1"/>
        <v>-19349.73134</v>
      </c>
      <c r="M918" s="1" t="str">
        <f t="shared" si="2"/>
        <v>ON SALE</v>
      </c>
      <c r="N918" s="1">
        <f t="shared" si="3"/>
        <v>33.36343583</v>
      </c>
      <c r="O918" s="1">
        <f t="shared" si="4"/>
        <v>36.77975098</v>
      </c>
      <c r="P918" s="4">
        <f t="shared" si="5"/>
        <v>0.02755044382</v>
      </c>
    </row>
    <row r="919" ht="15.75" customHeight="1">
      <c r="A919" s="3">
        <v>42555.0</v>
      </c>
      <c r="B919" s="1">
        <v>2016.0</v>
      </c>
      <c r="C919" s="1">
        <v>7.0</v>
      </c>
      <c r="D919" s="1" t="s">
        <v>23</v>
      </c>
      <c r="E919" s="1">
        <v>281531.68555597885</v>
      </c>
      <c r="F919" s="1">
        <v>304052.47699526703</v>
      </c>
      <c r="G919" s="1">
        <v>8431.0</v>
      </c>
      <c r="H919" s="1">
        <v>33.39</v>
      </c>
      <c r="I919" s="1">
        <v>36.06</v>
      </c>
      <c r="J919" s="1">
        <v>-2.67</v>
      </c>
      <c r="K919" s="1">
        <v>-8.0</v>
      </c>
      <c r="L919" s="1">
        <f t="shared" si="1"/>
        <v>-22520.79144</v>
      </c>
      <c r="M919" s="1" t="str">
        <f t="shared" si="2"/>
        <v>ON SALE</v>
      </c>
      <c r="N919" s="1">
        <f t="shared" si="3"/>
        <v>33.39244284</v>
      </c>
      <c r="O919" s="1">
        <f t="shared" si="4"/>
        <v>36.79457868</v>
      </c>
      <c r="P919" s="4">
        <f t="shared" si="5"/>
        <v>0.0294182115</v>
      </c>
    </row>
    <row r="920" ht="15.75" customHeight="1">
      <c r="A920" s="3">
        <v>42556.0</v>
      </c>
      <c r="B920" s="1">
        <v>2016.0</v>
      </c>
      <c r="C920" s="1">
        <v>7.0</v>
      </c>
      <c r="D920" s="1" t="s">
        <v>23</v>
      </c>
      <c r="E920" s="1">
        <v>219363.22013563893</v>
      </c>
      <c r="F920" s="1">
        <v>237026.35054084624</v>
      </c>
      <c r="G920" s="1">
        <v>6577.0</v>
      </c>
      <c r="H920" s="1">
        <v>33.35</v>
      </c>
      <c r="I920" s="1">
        <v>36.04</v>
      </c>
      <c r="J920" s="1">
        <v>-2.69</v>
      </c>
      <c r="K920" s="1">
        <v>-8.05</v>
      </c>
      <c r="L920" s="1">
        <f t="shared" si="1"/>
        <v>-17663.13041</v>
      </c>
      <c r="M920" s="1" t="str">
        <f t="shared" si="2"/>
        <v>ON SALE</v>
      </c>
      <c r="N920" s="1">
        <f t="shared" si="3"/>
        <v>33.35308197</v>
      </c>
      <c r="O920" s="1">
        <f t="shared" si="4"/>
        <v>36.81174106</v>
      </c>
      <c r="P920" s="4">
        <f t="shared" si="5"/>
        <v>0.0316747338</v>
      </c>
    </row>
    <row r="921" ht="15.75" customHeight="1">
      <c r="A921" s="3">
        <v>42557.0</v>
      </c>
      <c r="B921" s="1">
        <v>2016.0</v>
      </c>
      <c r="C921" s="1">
        <v>7.0</v>
      </c>
      <c r="D921" s="1" t="s">
        <v>23</v>
      </c>
      <c r="E921" s="1">
        <v>204005.58223455393</v>
      </c>
      <c r="F921" s="1">
        <v>219722.8949500477</v>
      </c>
      <c r="G921" s="1">
        <v>6098.0</v>
      </c>
      <c r="H921" s="1">
        <v>33.45</v>
      </c>
      <c r="I921" s="1">
        <v>36.03</v>
      </c>
      <c r="J921" s="1">
        <v>-2.58</v>
      </c>
      <c r="K921" s="1">
        <v>-7.7</v>
      </c>
      <c r="L921" s="1">
        <f t="shared" si="1"/>
        <v>-15717.31272</v>
      </c>
      <c r="M921" s="1" t="str">
        <f t="shared" si="2"/>
        <v>ON SALE</v>
      </c>
      <c r="N921" s="1">
        <f t="shared" si="3"/>
        <v>33.45450676</v>
      </c>
      <c r="O921" s="1">
        <f t="shared" si="4"/>
        <v>36.82616509</v>
      </c>
      <c r="P921" s="4">
        <f t="shared" si="5"/>
        <v>0.03350713004</v>
      </c>
    </row>
    <row r="922" ht="15.75" customHeight="1">
      <c r="A922" s="3">
        <v>42558.0</v>
      </c>
      <c r="B922" s="1">
        <v>2016.0</v>
      </c>
      <c r="C922" s="1">
        <v>7.0</v>
      </c>
      <c r="D922" s="1" t="s">
        <v>23</v>
      </c>
      <c r="E922" s="1">
        <v>69579.06845546977</v>
      </c>
      <c r="F922" s="1">
        <v>59598.917800192394</v>
      </c>
      <c r="G922" s="1">
        <v>1654.0</v>
      </c>
      <c r="H922" s="1">
        <v>42.07</v>
      </c>
      <c r="I922" s="1">
        <v>36.03</v>
      </c>
      <c r="J922" s="1">
        <v>6.03</v>
      </c>
      <c r="K922" s="1">
        <v>14.34</v>
      </c>
      <c r="L922" s="1">
        <f t="shared" si="1"/>
        <v>9980.150655</v>
      </c>
      <c r="M922" s="1" t="str">
        <f t="shared" si="2"/>
        <v>Regular</v>
      </c>
      <c r="N922" s="1">
        <f t="shared" si="3"/>
        <v>42.06715142</v>
      </c>
      <c r="O922" s="1">
        <f t="shared" si="4"/>
        <v>36.84014613</v>
      </c>
      <c r="P922" s="4">
        <f t="shared" si="5"/>
        <v>0.03521216592</v>
      </c>
    </row>
    <row r="923" ht="15.75" customHeight="1">
      <c r="A923" s="3">
        <v>42559.0</v>
      </c>
      <c r="B923" s="1">
        <v>2016.0</v>
      </c>
      <c r="C923" s="1">
        <v>7.0</v>
      </c>
      <c r="D923" s="1" t="s">
        <v>23</v>
      </c>
      <c r="E923" s="1">
        <v>87184.74002870891</v>
      </c>
      <c r="F923" s="1">
        <v>74654.52041929681</v>
      </c>
      <c r="G923" s="1">
        <v>2073.0</v>
      </c>
      <c r="H923" s="1">
        <v>42.06</v>
      </c>
      <c r="I923" s="1">
        <v>36.01</v>
      </c>
      <c r="J923" s="1">
        <v>6.04</v>
      </c>
      <c r="K923" s="1">
        <v>14.37</v>
      </c>
      <c r="L923" s="1">
        <f t="shared" si="1"/>
        <v>12530.21961</v>
      </c>
      <c r="M923" s="1" t="str">
        <f t="shared" si="2"/>
        <v>Regular</v>
      </c>
      <c r="N923" s="1">
        <f t="shared" si="3"/>
        <v>42.05727932</v>
      </c>
      <c r="O923" s="1">
        <f t="shared" si="4"/>
        <v>36.84401761</v>
      </c>
      <c r="P923" s="4">
        <f t="shared" si="5"/>
        <v>0.03463986747</v>
      </c>
    </row>
    <row r="924" ht="15.75" customHeight="1">
      <c r="A924" s="3">
        <v>42560.0</v>
      </c>
      <c r="B924" s="1">
        <v>2016.0</v>
      </c>
      <c r="C924" s="1">
        <v>7.0</v>
      </c>
      <c r="D924" s="1" t="s">
        <v>23</v>
      </c>
      <c r="E924" s="1">
        <v>78700.43604833915</v>
      </c>
      <c r="F924" s="1">
        <v>67367.38324040257</v>
      </c>
      <c r="G924" s="1">
        <v>1871.0</v>
      </c>
      <c r="H924" s="1">
        <v>42.06</v>
      </c>
      <c r="I924" s="1">
        <v>36.01</v>
      </c>
      <c r="J924" s="1">
        <v>6.06</v>
      </c>
      <c r="K924" s="1">
        <v>14.4</v>
      </c>
      <c r="L924" s="1">
        <f t="shared" si="1"/>
        <v>11333.05281</v>
      </c>
      <c r="M924" s="1" t="str">
        <f t="shared" si="2"/>
        <v>Regular</v>
      </c>
      <c r="N924" s="1">
        <f t="shared" si="3"/>
        <v>42.06330093</v>
      </c>
      <c r="O924" s="1">
        <f t="shared" si="4"/>
        <v>36.84904607</v>
      </c>
      <c r="P924" s="4">
        <f t="shared" si="5"/>
        <v>0.03391226302</v>
      </c>
    </row>
    <row r="925" ht="15.75" customHeight="1">
      <c r="A925" s="3">
        <v>42561.0</v>
      </c>
      <c r="B925" s="1">
        <v>2016.0</v>
      </c>
      <c r="C925" s="1">
        <v>7.0</v>
      </c>
      <c r="D925" s="1" t="s">
        <v>23</v>
      </c>
      <c r="E925" s="1">
        <v>39809.55909060037</v>
      </c>
      <c r="F925" s="1">
        <v>34091.5696624407</v>
      </c>
      <c r="G925" s="1">
        <v>946.0</v>
      </c>
      <c r="H925" s="1">
        <v>42.08</v>
      </c>
      <c r="I925" s="1">
        <v>36.04</v>
      </c>
      <c r="J925" s="1">
        <v>6.04</v>
      </c>
      <c r="K925" s="1">
        <v>14.36</v>
      </c>
      <c r="L925" s="1">
        <f t="shared" si="1"/>
        <v>5717.989428</v>
      </c>
      <c r="M925" s="1" t="str">
        <f t="shared" si="2"/>
        <v>Regular</v>
      </c>
      <c r="N925" s="1">
        <f t="shared" si="3"/>
        <v>42.08198635</v>
      </c>
      <c r="O925" s="1">
        <f t="shared" si="4"/>
        <v>36.85367389</v>
      </c>
      <c r="P925" s="4">
        <f t="shared" si="5"/>
        <v>0.03324536965</v>
      </c>
    </row>
    <row r="926" ht="15.75" customHeight="1">
      <c r="A926" s="3">
        <v>42562.0</v>
      </c>
      <c r="B926" s="1">
        <v>2016.0</v>
      </c>
      <c r="C926" s="1">
        <v>7.0</v>
      </c>
      <c r="D926" s="1" t="s">
        <v>23</v>
      </c>
      <c r="E926" s="1">
        <v>45839.23877019025</v>
      </c>
      <c r="F926" s="1">
        <v>39231.195372207745</v>
      </c>
      <c r="G926" s="1">
        <v>1090.0</v>
      </c>
      <c r="H926" s="1">
        <v>42.05</v>
      </c>
      <c r="I926" s="1">
        <v>35.99</v>
      </c>
      <c r="J926" s="1">
        <v>6.06</v>
      </c>
      <c r="K926" s="1">
        <v>14.42</v>
      </c>
      <c r="L926" s="1">
        <f t="shared" si="1"/>
        <v>6608.043398</v>
      </c>
      <c r="M926" s="1" t="str">
        <f t="shared" si="2"/>
        <v>Regular</v>
      </c>
      <c r="N926" s="1">
        <f t="shared" si="3"/>
        <v>42.0543475</v>
      </c>
      <c r="O926" s="1">
        <f t="shared" si="4"/>
        <v>36.85594545</v>
      </c>
      <c r="P926" s="4">
        <f t="shared" si="5"/>
        <v>0.03290607763</v>
      </c>
    </row>
    <row r="927" ht="15.75" customHeight="1">
      <c r="A927" s="3">
        <v>42563.0</v>
      </c>
      <c r="B927" s="1">
        <v>2016.0</v>
      </c>
      <c r="C927" s="1">
        <v>7.0</v>
      </c>
      <c r="D927" s="1" t="s">
        <v>23</v>
      </c>
      <c r="E927" s="1">
        <v>36851.76374685037</v>
      </c>
      <c r="F927" s="1">
        <v>31574.325469600975</v>
      </c>
      <c r="G927" s="1">
        <v>876.0</v>
      </c>
      <c r="H927" s="1">
        <v>42.07</v>
      </c>
      <c r="I927" s="1">
        <v>36.04</v>
      </c>
      <c r="J927" s="1">
        <v>6.02</v>
      </c>
      <c r="K927" s="1">
        <v>14.32</v>
      </c>
      <c r="L927" s="1">
        <f t="shared" si="1"/>
        <v>5277.438277</v>
      </c>
      <c r="M927" s="1" t="str">
        <f t="shared" si="2"/>
        <v>Regular</v>
      </c>
      <c r="N927" s="1">
        <f t="shared" si="3"/>
        <v>42.06822346</v>
      </c>
      <c r="O927" s="1">
        <f t="shared" si="4"/>
        <v>36.85872548</v>
      </c>
      <c r="P927" s="4">
        <f t="shared" si="5"/>
        <v>0.03251094393</v>
      </c>
    </row>
    <row r="928" ht="15.75" customHeight="1">
      <c r="A928" s="3">
        <v>42564.0</v>
      </c>
      <c r="B928" s="1">
        <v>2016.0</v>
      </c>
      <c r="C928" s="1">
        <v>7.0</v>
      </c>
      <c r="D928" s="1" t="s">
        <v>23</v>
      </c>
      <c r="E928" s="1">
        <v>33225.67047177012</v>
      </c>
      <c r="F928" s="1">
        <v>28489.081398148788</v>
      </c>
      <c r="G928" s="1">
        <v>790.0</v>
      </c>
      <c r="H928" s="1">
        <v>42.06</v>
      </c>
      <c r="I928" s="1">
        <v>36.06</v>
      </c>
      <c r="J928" s="1">
        <v>6.0</v>
      </c>
      <c r="K928" s="1">
        <v>14.26</v>
      </c>
      <c r="L928" s="1">
        <f t="shared" si="1"/>
        <v>4736.589074</v>
      </c>
      <c r="M928" s="1" t="str">
        <f t="shared" si="2"/>
        <v>Regular</v>
      </c>
      <c r="N928" s="1">
        <f t="shared" si="3"/>
        <v>42.05781072</v>
      </c>
      <c r="O928" s="1">
        <f t="shared" si="4"/>
        <v>36.86083834</v>
      </c>
      <c r="P928" s="4">
        <f t="shared" si="5"/>
        <v>0.03219396057</v>
      </c>
    </row>
    <row r="929" ht="15.75" customHeight="1">
      <c r="A929" s="3">
        <v>42565.0</v>
      </c>
      <c r="B929" s="1">
        <v>2016.0</v>
      </c>
      <c r="C929" s="1">
        <v>7.0</v>
      </c>
      <c r="D929" s="1" t="s">
        <v>23</v>
      </c>
      <c r="E929" s="1">
        <v>30423.391456740123</v>
      </c>
      <c r="F929" s="1">
        <v>26053.796718671532</v>
      </c>
      <c r="G929" s="1">
        <v>723.0</v>
      </c>
      <c r="H929" s="1">
        <v>42.08</v>
      </c>
      <c r="I929" s="1">
        <v>36.04</v>
      </c>
      <c r="J929" s="1">
        <v>6.04</v>
      </c>
      <c r="K929" s="1">
        <v>14.36</v>
      </c>
      <c r="L929" s="1">
        <f t="shared" si="1"/>
        <v>4369.594738</v>
      </c>
      <c r="M929" s="1" t="str">
        <f t="shared" si="2"/>
        <v>Regular</v>
      </c>
      <c r="N929" s="1">
        <f t="shared" si="3"/>
        <v>42.07937961</v>
      </c>
      <c r="O929" s="1">
        <f t="shared" si="4"/>
        <v>36.86271012</v>
      </c>
      <c r="P929" s="4">
        <f t="shared" si="5"/>
        <v>0.03190828723</v>
      </c>
    </row>
    <row r="930" ht="15.75" customHeight="1">
      <c r="A930" s="3">
        <v>42566.0</v>
      </c>
      <c r="B930" s="1">
        <v>2016.0</v>
      </c>
      <c r="C930" s="1">
        <v>7.0</v>
      </c>
      <c r="D930" s="1" t="s">
        <v>23</v>
      </c>
      <c r="E930" s="1">
        <v>80345.63765943915</v>
      </c>
      <c r="F930" s="1">
        <v>68788.09453638473</v>
      </c>
      <c r="G930" s="1">
        <v>1910.0</v>
      </c>
      <c r="H930" s="1">
        <v>42.07</v>
      </c>
      <c r="I930" s="1">
        <v>36.01</v>
      </c>
      <c r="J930" s="1">
        <v>6.05</v>
      </c>
      <c r="K930" s="1">
        <v>14.38</v>
      </c>
      <c r="L930" s="1">
        <f t="shared" si="1"/>
        <v>11557.54312</v>
      </c>
      <c r="M930" s="1" t="str">
        <f t="shared" si="2"/>
        <v>Regular</v>
      </c>
      <c r="N930" s="1">
        <f t="shared" si="3"/>
        <v>42.06577888</v>
      </c>
      <c r="O930" s="1">
        <f t="shared" si="4"/>
        <v>36.8644877</v>
      </c>
      <c r="P930" s="4">
        <f t="shared" si="5"/>
        <v>0.03164287023</v>
      </c>
    </row>
    <row r="931" ht="15.75" customHeight="1">
      <c r="A931" s="3">
        <v>42567.0</v>
      </c>
      <c r="B931" s="1">
        <v>2016.0</v>
      </c>
      <c r="C931" s="1">
        <v>7.0</v>
      </c>
      <c r="D931" s="1" t="s">
        <v>23</v>
      </c>
      <c r="E931" s="1">
        <v>95297.33862663868</v>
      </c>
      <c r="F931" s="1">
        <v>81655.85773085873</v>
      </c>
      <c r="G931" s="1">
        <v>2266.0</v>
      </c>
      <c r="H931" s="1">
        <v>42.06</v>
      </c>
      <c r="I931" s="1">
        <v>36.04</v>
      </c>
      <c r="J931" s="1">
        <v>6.02</v>
      </c>
      <c r="K931" s="1">
        <v>14.31</v>
      </c>
      <c r="L931" s="1">
        <f t="shared" si="1"/>
        <v>13641.4809</v>
      </c>
      <c r="M931" s="1" t="str">
        <f t="shared" si="2"/>
        <v>Regular</v>
      </c>
      <c r="N931" s="1">
        <f t="shared" si="3"/>
        <v>42.05531272</v>
      </c>
      <c r="O931" s="1">
        <f t="shared" si="4"/>
        <v>36.8693404</v>
      </c>
      <c r="P931" s="4">
        <f t="shared" si="5"/>
        <v>0.03093442519</v>
      </c>
    </row>
    <row r="932" ht="15.75" customHeight="1">
      <c r="A932" s="3">
        <v>42568.0</v>
      </c>
      <c r="B932" s="1">
        <v>2016.0</v>
      </c>
      <c r="C932" s="1">
        <v>7.0</v>
      </c>
      <c r="D932" s="1" t="s">
        <v>23</v>
      </c>
      <c r="E932" s="1">
        <v>45324.05452767025</v>
      </c>
      <c r="F932" s="1">
        <v>38809.808900032534</v>
      </c>
      <c r="G932" s="1">
        <v>1078.0</v>
      </c>
      <c r="H932" s="1">
        <v>42.04</v>
      </c>
      <c r="I932" s="1">
        <v>36.0</v>
      </c>
      <c r="J932" s="1">
        <v>6.04</v>
      </c>
      <c r="K932" s="1">
        <v>14.37</v>
      </c>
      <c r="L932" s="1">
        <f t="shared" si="1"/>
        <v>6514.245628</v>
      </c>
      <c r="M932" s="1" t="str">
        <f t="shared" si="2"/>
        <v>Regular</v>
      </c>
      <c r="N932" s="1">
        <f t="shared" si="3"/>
        <v>42.04457748</v>
      </c>
      <c r="O932" s="1">
        <f t="shared" si="4"/>
        <v>36.8750299</v>
      </c>
      <c r="P932" s="4">
        <f t="shared" si="5"/>
        <v>0.03008774988</v>
      </c>
    </row>
    <row r="933" ht="15.75" customHeight="1">
      <c r="A933" s="3">
        <v>42569.0</v>
      </c>
      <c r="B933" s="1">
        <v>2016.0</v>
      </c>
      <c r="C933" s="1">
        <v>7.0</v>
      </c>
      <c r="D933" s="1" t="s">
        <v>23</v>
      </c>
      <c r="E933" s="1">
        <v>51604.118408790244</v>
      </c>
      <c r="F933" s="1">
        <v>44222.78447663398</v>
      </c>
      <c r="G933" s="1">
        <v>1227.0</v>
      </c>
      <c r="H933" s="1">
        <v>42.06</v>
      </c>
      <c r="I933" s="1">
        <v>36.04</v>
      </c>
      <c r="J933" s="1">
        <v>6.02</v>
      </c>
      <c r="K933" s="1">
        <v>14.3</v>
      </c>
      <c r="L933" s="1">
        <f t="shared" si="1"/>
        <v>7381.333932</v>
      </c>
      <c r="M933" s="1" t="str">
        <f t="shared" si="2"/>
        <v>Regular</v>
      </c>
      <c r="N933" s="1">
        <f t="shared" si="3"/>
        <v>42.05714622</v>
      </c>
      <c r="O933" s="1">
        <f t="shared" si="4"/>
        <v>36.87787315</v>
      </c>
      <c r="P933" s="4">
        <f t="shared" si="5"/>
        <v>0.0296784787</v>
      </c>
    </row>
    <row r="934" ht="15.75" customHeight="1">
      <c r="A934" s="3">
        <v>42570.0</v>
      </c>
      <c r="B934" s="1">
        <v>2016.0</v>
      </c>
      <c r="C934" s="1">
        <v>7.0</v>
      </c>
      <c r="D934" s="1" t="s">
        <v>23</v>
      </c>
      <c r="E934" s="1">
        <v>37870.119032340364</v>
      </c>
      <c r="F934" s="1">
        <v>32436.795965171274</v>
      </c>
      <c r="G934" s="1">
        <v>900.0</v>
      </c>
      <c r="H934" s="1">
        <v>42.08</v>
      </c>
      <c r="I934" s="1">
        <v>36.04</v>
      </c>
      <c r="J934" s="1">
        <v>6.04</v>
      </c>
      <c r="K934" s="1">
        <v>14.35</v>
      </c>
      <c r="L934" s="1">
        <f t="shared" si="1"/>
        <v>5433.323067</v>
      </c>
      <c r="M934" s="1" t="str">
        <f t="shared" si="2"/>
        <v>Regular</v>
      </c>
      <c r="N934" s="1">
        <f t="shared" si="3"/>
        <v>42.07791004</v>
      </c>
      <c r="O934" s="1">
        <f t="shared" si="4"/>
        <v>36.88098432</v>
      </c>
      <c r="P934" s="4">
        <f t="shared" si="5"/>
        <v>0.02921172957</v>
      </c>
    </row>
    <row r="935" ht="15.75" customHeight="1">
      <c r="A935" s="3">
        <v>42571.0</v>
      </c>
      <c r="B935" s="1">
        <v>2016.0</v>
      </c>
      <c r="C935" s="1">
        <v>7.0</v>
      </c>
      <c r="D935" s="1" t="s">
        <v>23</v>
      </c>
      <c r="E935" s="1">
        <v>42723.52445781024</v>
      </c>
      <c r="F935" s="1">
        <v>36607.39065637653</v>
      </c>
      <c r="G935" s="1">
        <v>1016.0</v>
      </c>
      <c r="H935" s="1">
        <v>42.05</v>
      </c>
      <c r="I935" s="1">
        <v>36.03</v>
      </c>
      <c r="J935" s="1">
        <v>6.02</v>
      </c>
      <c r="K935" s="1">
        <v>14.32</v>
      </c>
      <c r="L935" s="1">
        <f t="shared" si="1"/>
        <v>6116.133801</v>
      </c>
      <c r="M935" s="1" t="str">
        <f t="shared" si="2"/>
        <v>Regular</v>
      </c>
      <c r="N935" s="1">
        <f t="shared" si="3"/>
        <v>42.05071305</v>
      </c>
      <c r="O935" s="1">
        <f t="shared" si="4"/>
        <v>36.88328248</v>
      </c>
      <c r="P935" s="4">
        <f t="shared" si="5"/>
        <v>0.02886543104</v>
      </c>
    </row>
    <row r="936" ht="15.75" customHeight="1">
      <c r="A936" s="3">
        <v>42572.0</v>
      </c>
      <c r="B936" s="1">
        <v>2016.0</v>
      </c>
      <c r="C936" s="1">
        <v>7.0</v>
      </c>
      <c r="D936" s="1" t="s">
        <v>23</v>
      </c>
      <c r="E936" s="1">
        <v>35169.91580985013</v>
      </c>
      <c r="F936" s="1">
        <v>30133.31863966587</v>
      </c>
      <c r="G936" s="1">
        <v>836.0</v>
      </c>
      <c r="H936" s="1">
        <v>42.07</v>
      </c>
      <c r="I936" s="1">
        <v>36.04</v>
      </c>
      <c r="J936" s="1">
        <v>6.02</v>
      </c>
      <c r="K936" s="1">
        <v>14.32</v>
      </c>
      <c r="L936" s="1">
        <f t="shared" si="1"/>
        <v>5036.59717</v>
      </c>
      <c r="M936" s="1" t="str">
        <f t="shared" si="2"/>
        <v>Regular</v>
      </c>
      <c r="N936" s="1">
        <f t="shared" si="3"/>
        <v>42.06927728</v>
      </c>
      <c r="O936" s="1">
        <f t="shared" si="4"/>
        <v>36.88592294</v>
      </c>
      <c r="P936" s="4">
        <f t="shared" si="5"/>
        <v>0.02847330834</v>
      </c>
    </row>
    <row r="937" ht="15.75" customHeight="1">
      <c r="A937" s="3">
        <v>42573.0</v>
      </c>
      <c r="B937" s="1">
        <v>2016.0</v>
      </c>
      <c r="C937" s="1">
        <v>7.0</v>
      </c>
      <c r="D937" s="1" t="s">
        <v>23</v>
      </c>
      <c r="E937" s="1">
        <v>61148.20501127964</v>
      </c>
      <c r="F937" s="1">
        <v>52384.44748299273</v>
      </c>
      <c r="G937" s="1">
        <v>1454.0</v>
      </c>
      <c r="H937" s="1">
        <v>42.06</v>
      </c>
      <c r="I937" s="1">
        <v>36.03</v>
      </c>
      <c r="J937" s="1">
        <v>6.03</v>
      </c>
      <c r="K937" s="1">
        <v>14.33</v>
      </c>
      <c r="L937" s="1">
        <f t="shared" si="1"/>
        <v>8763.757528</v>
      </c>
      <c r="M937" s="1" t="str">
        <f t="shared" si="2"/>
        <v>Regular</v>
      </c>
      <c r="N937" s="1">
        <f t="shared" si="3"/>
        <v>42.05516163</v>
      </c>
      <c r="O937" s="1">
        <f t="shared" si="4"/>
        <v>36.88807278</v>
      </c>
      <c r="P937" s="4">
        <f t="shared" si="5"/>
        <v>0.02814834323</v>
      </c>
    </row>
    <row r="938" ht="15.75" customHeight="1">
      <c r="A938" s="3">
        <v>42574.0</v>
      </c>
      <c r="B938" s="1">
        <v>2016.0</v>
      </c>
      <c r="C938" s="1">
        <v>7.0</v>
      </c>
      <c r="D938" s="1" t="s">
        <v>23</v>
      </c>
      <c r="E938" s="1">
        <v>77171.70180014952</v>
      </c>
      <c r="F938" s="1">
        <v>66113.83203755615</v>
      </c>
      <c r="G938" s="1">
        <v>1835.0</v>
      </c>
      <c r="H938" s="1">
        <v>42.06</v>
      </c>
      <c r="I938" s="1">
        <v>36.03</v>
      </c>
      <c r="J938" s="1">
        <v>6.03</v>
      </c>
      <c r="K938" s="1">
        <v>14.33</v>
      </c>
      <c r="L938" s="1">
        <f t="shared" si="1"/>
        <v>11057.86976</v>
      </c>
      <c r="M938" s="1" t="str">
        <f t="shared" si="2"/>
        <v>Regular</v>
      </c>
      <c r="N938" s="1">
        <f t="shared" si="3"/>
        <v>42.05542332</v>
      </c>
      <c r="O938" s="1">
        <f t="shared" si="4"/>
        <v>36.89191325</v>
      </c>
      <c r="P938" s="4">
        <f t="shared" si="5"/>
        <v>0.0275783818</v>
      </c>
    </row>
    <row r="939" ht="15.75" customHeight="1">
      <c r="A939" s="3">
        <v>42575.0</v>
      </c>
      <c r="B939" s="1">
        <v>2016.0</v>
      </c>
      <c r="C939" s="1">
        <v>7.0</v>
      </c>
      <c r="D939" s="1" t="s">
        <v>23</v>
      </c>
      <c r="E939" s="1">
        <v>40881.354912270246</v>
      </c>
      <c r="F939" s="1">
        <v>35019.112638998406</v>
      </c>
      <c r="G939" s="1">
        <v>972.0</v>
      </c>
      <c r="H939" s="1">
        <v>42.06</v>
      </c>
      <c r="I939" s="1">
        <v>36.03</v>
      </c>
      <c r="J939" s="1">
        <v>6.03</v>
      </c>
      <c r="K939" s="1">
        <v>14.34</v>
      </c>
      <c r="L939" s="1">
        <f t="shared" si="1"/>
        <v>5862.242273</v>
      </c>
      <c r="M939" s="1" t="str">
        <f t="shared" si="2"/>
        <v>Regular</v>
      </c>
      <c r="N939" s="1">
        <f t="shared" si="3"/>
        <v>42.05900711</v>
      </c>
      <c r="O939" s="1">
        <f t="shared" si="4"/>
        <v>36.89680068</v>
      </c>
      <c r="P939" s="4">
        <f t="shared" si="5"/>
        <v>0.02685115607</v>
      </c>
    </row>
    <row r="940" ht="15.75" customHeight="1">
      <c r="A940" s="3">
        <v>42576.0</v>
      </c>
      <c r="B940" s="1">
        <v>2016.0</v>
      </c>
      <c r="C940" s="1">
        <v>7.0</v>
      </c>
      <c r="D940" s="1" t="s">
        <v>23</v>
      </c>
      <c r="E940" s="1">
        <v>43085.59501152025</v>
      </c>
      <c r="F940" s="1">
        <v>36887.36617189064</v>
      </c>
      <c r="G940" s="1">
        <v>1024.0</v>
      </c>
      <c r="H940" s="1">
        <v>42.08</v>
      </c>
      <c r="I940" s="1">
        <v>36.02</v>
      </c>
      <c r="J940" s="1">
        <v>6.05</v>
      </c>
      <c r="K940" s="1">
        <v>14.39</v>
      </c>
      <c r="L940" s="1">
        <f t="shared" si="1"/>
        <v>6198.22884</v>
      </c>
      <c r="M940" s="1" t="str">
        <f t="shared" si="2"/>
        <v>Regular</v>
      </c>
      <c r="N940" s="1">
        <f t="shared" si="3"/>
        <v>42.07577638</v>
      </c>
      <c r="O940" s="1">
        <f t="shared" si="4"/>
        <v>36.89941641</v>
      </c>
      <c r="P940" s="4">
        <f t="shared" si="5"/>
        <v>0.02646183695</v>
      </c>
    </row>
    <row r="941" ht="15.75" customHeight="1">
      <c r="A941" s="3">
        <v>42577.0</v>
      </c>
      <c r="B941" s="1">
        <v>2016.0</v>
      </c>
      <c r="C941" s="1">
        <v>7.0</v>
      </c>
      <c r="D941" s="1" t="s">
        <v>23</v>
      </c>
      <c r="E941" s="1">
        <v>43894.99343211024</v>
      </c>
      <c r="F941" s="1">
        <v>37604.658419582855</v>
      </c>
      <c r="G941" s="1">
        <v>1044.0</v>
      </c>
      <c r="H941" s="1">
        <v>42.05</v>
      </c>
      <c r="I941" s="1">
        <v>36.02</v>
      </c>
      <c r="J941" s="1">
        <v>6.03</v>
      </c>
      <c r="K941" s="1">
        <v>14.33</v>
      </c>
      <c r="L941" s="1">
        <f t="shared" si="1"/>
        <v>6290.335013</v>
      </c>
      <c r="M941" s="1" t="str">
        <f t="shared" si="2"/>
        <v>Regular</v>
      </c>
      <c r="N941" s="1">
        <f t="shared" si="3"/>
        <v>42.04501287</v>
      </c>
      <c r="O941" s="1">
        <f t="shared" si="4"/>
        <v>36.9022053</v>
      </c>
      <c r="P941" s="4">
        <f t="shared" si="5"/>
        <v>0.02604706907</v>
      </c>
    </row>
    <row r="942" ht="15.75" customHeight="1">
      <c r="A942" s="3">
        <v>42578.0</v>
      </c>
      <c r="B942" s="1">
        <v>2016.0</v>
      </c>
      <c r="C942" s="1">
        <v>7.0</v>
      </c>
      <c r="D942" s="1" t="s">
        <v>23</v>
      </c>
      <c r="E942" s="1">
        <v>67780.72888646953</v>
      </c>
      <c r="F942" s="1">
        <v>58196.145986195355</v>
      </c>
      <c r="G942" s="1">
        <v>1611.0</v>
      </c>
      <c r="H942" s="1">
        <v>42.07</v>
      </c>
      <c r="I942" s="1">
        <v>36.12</v>
      </c>
      <c r="J942" s="1">
        <v>5.95</v>
      </c>
      <c r="K942" s="1">
        <v>14.14</v>
      </c>
      <c r="L942" s="1">
        <f t="shared" si="1"/>
        <v>9584.5829</v>
      </c>
      <c r="M942" s="1" t="str">
        <f t="shared" si="2"/>
        <v>Regular</v>
      </c>
      <c r="N942" s="1">
        <f t="shared" si="3"/>
        <v>42.07369887</v>
      </c>
      <c r="O942" s="1">
        <f t="shared" si="4"/>
        <v>36.90507686</v>
      </c>
      <c r="P942" s="4">
        <f t="shared" si="5"/>
        <v>0.02562348715</v>
      </c>
    </row>
    <row r="943" ht="15.75" customHeight="1">
      <c r="A943" s="3">
        <v>42579.0</v>
      </c>
      <c r="B943" s="1">
        <v>2016.0</v>
      </c>
      <c r="C943" s="1">
        <v>7.0</v>
      </c>
      <c r="D943" s="1" t="s">
        <v>23</v>
      </c>
      <c r="E943" s="1">
        <v>51907.94314650024</v>
      </c>
      <c r="F943" s="1">
        <v>44544.63074310132</v>
      </c>
      <c r="G943" s="1">
        <v>1234.0</v>
      </c>
      <c r="H943" s="1">
        <v>42.06</v>
      </c>
      <c r="I943" s="1">
        <v>36.1</v>
      </c>
      <c r="J943" s="1">
        <v>5.97</v>
      </c>
      <c r="K943" s="1">
        <v>14.19</v>
      </c>
      <c r="L943" s="1">
        <f t="shared" si="1"/>
        <v>7363.312403</v>
      </c>
      <c r="M943" s="1" t="str">
        <f t="shared" si="2"/>
        <v>Regular</v>
      </c>
      <c r="N943" s="1">
        <f t="shared" si="3"/>
        <v>42.06478375</v>
      </c>
      <c r="O943" s="1">
        <f t="shared" si="4"/>
        <v>36.90901767</v>
      </c>
      <c r="P943" s="4">
        <f t="shared" si="5"/>
        <v>0.02497401457</v>
      </c>
    </row>
    <row r="944" ht="15.75" customHeight="1">
      <c r="A944" s="3">
        <v>42580.0</v>
      </c>
      <c r="B944" s="1">
        <v>2016.0</v>
      </c>
      <c r="C944" s="1">
        <v>7.0</v>
      </c>
      <c r="D944" s="1" t="s">
        <v>23</v>
      </c>
      <c r="E944" s="1">
        <v>93508.63388636916</v>
      </c>
      <c r="F944" s="1">
        <v>80346.69413385824</v>
      </c>
      <c r="G944" s="1">
        <v>2223.0</v>
      </c>
      <c r="H944" s="1">
        <v>42.06</v>
      </c>
      <c r="I944" s="1">
        <v>36.14</v>
      </c>
      <c r="J944" s="1">
        <v>5.92</v>
      </c>
      <c r="K944" s="1">
        <v>14.08</v>
      </c>
      <c r="L944" s="1">
        <f t="shared" si="1"/>
        <v>13161.93975</v>
      </c>
      <c r="M944" s="1" t="str">
        <f t="shared" si="2"/>
        <v>Regular</v>
      </c>
      <c r="N944" s="1">
        <f t="shared" si="3"/>
        <v>42.06416279</v>
      </c>
      <c r="O944" s="1">
        <f t="shared" si="4"/>
        <v>36.91216606</v>
      </c>
      <c r="P944" s="4">
        <f t="shared" si="5"/>
        <v>0.02446975558</v>
      </c>
    </row>
    <row r="945" ht="15.75" customHeight="1">
      <c r="A945" s="3">
        <v>42581.0</v>
      </c>
      <c r="B945" s="1">
        <v>2016.0</v>
      </c>
      <c r="C945" s="1">
        <v>7.0</v>
      </c>
      <c r="D945" s="1" t="s">
        <v>23</v>
      </c>
      <c r="E945" s="1">
        <v>95343.59551217893</v>
      </c>
      <c r="F945" s="1">
        <v>81874.28886350773</v>
      </c>
      <c r="G945" s="1">
        <v>2267.0</v>
      </c>
      <c r="H945" s="1">
        <v>42.06</v>
      </c>
      <c r="I945" s="1">
        <v>36.12</v>
      </c>
      <c r="J945" s="1">
        <v>5.94</v>
      </c>
      <c r="K945" s="1">
        <v>14.13</v>
      </c>
      <c r="L945" s="1">
        <f t="shared" si="1"/>
        <v>13469.30665</v>
      </c>
      <c r="M945" s="1" t="str">
        <f t="shared" si="2"/>
        <v>Regular</v>
      </c>
      <c r="N945" s="1">
        <f t="shared" si="3"/>
        <v>42.05716608</v>
      </c>
      <c r="O945" s="1">
        <f t="shared" si="4"/>
        <v>36.91757874</v>
      </c>
      <c r="P945" s="4">
        <f t="shared" si="5"/>
        <v>0.02355889385</v>
      </c>
    </row>
    <row r="946" ht="15.75" customHeight="1">
      <c r="A946" s="3">
        <v>42582.0</v>
      </c>
      <c r="B946" s="1">
        <v>2016.0</v>
      </c>
      <c r="C946" s="1">
        <v>7.0</v>
      </c>
      <c r="D946" s="1" t="s">
        <v>23</v>
      </c>
      <c r="E946" s="1">
        <v>59514.99233063988</v>
      </c>
      <c r="F946" s="1">
        <v>51145.403341245634</v>
      </c>
      <c r="G946" s="1">
        <v>1415.0</v>
      </c>
      <c r="H946" s="1">
        <v>42.06</v>
      </c>
      <c r="I946" s="1">
        <v>36.15</v>
      </c>
      <c r="J946" s="1">
        <v>5.91</v>
      </c>
      <c r="K946" s="1">
        <v>14.06</v>
      </c>
      <c r="L946" s="1">
        <f t="shared" si="1"/>
        <v>8369.588989</v>
      </c>
      <c r="M946" s="1" t="str">
        <f t="shared" si="2"/>
        <v>Regular</v>
      </c>
      <c r="N946" s="1">
        <f t="shared" si="3"/>
        <v>42.06006525</v>
      </c>
      <c r="O946" s="1">
        <f t="shared" si="4"/>
        <v>36.92337768</v>
      </c>
      <c r="P946" s="4">
        <f t="shared" si="5"/>
        <v>0.02261120272</v>
      </c>
    </row>
    <row r="947" ht="15.75" customHeight="1">
      <c r="A947" s="3">
        <v>42583.0</v>
      </c>
      <c r="B947" s="1">
        <v>2016.0</v>
      </c>
      <c r="C947" s="1">
        <v>8.0</v>
      </c>
      <c r="D947" s="1" t="s">
        <v>24</v>
      </c>
      <c r="E947" s="1">
        <v>65133.96620015976</v>
      </c>
      <c r="F947" s="1">
        <v>55946.05655907712</v>
      </c>
      <c r="G947" s="1">
        <v>1548.0</v>
      </c>
      <c r="H947" s="1">
        <v>42.08</v>
      </c>
      <c r="I947" s="1">
        <v>36.14</v>
      </c>
      <c r="J947" s="1">
        <v>5.94</v>
      </c>
      <c r="K947" s="1">
        <v>14.11</v>
      </c>
      <c r="L947" s="1">
        <f t="shared" si="1"/>
        <v>9187.909641</v>
      </c>
      <c r="M947" s="1" t="str">
        <f t="shared" si="2"/>
        <v>Regular</v>
      </c>
      <c r="N947" s="1">
        <f t="shared" si="3"/>
        <v>42.07620556</v>
      </c>
      <c r="O947" s="1">
        <f t="shared" si="4"/>
        <v>36.92690633</v>
      </c>
      <c r="P947" s="4">
        <f t="shared" si="5"/>
        <v>0.02201510334</v>
      </c>
    </row>
    <row r="948" ht="15.75" customHeight="1">
      <c r="A948" s="3">
        <v>42584.0</v>
      </c>
      <c r="B948" s="1">
        <v>2016.0</v>
      </c>
      <c r="C948" s="1">
        <v>8.0</v>
      </c>
      <c r="D948" s="1" t="s">
        <v>24</v>
      </c>
      <c r="E948" s="1">
        <v>70641.25371749989</v>
      </c>
      <c r="F948" s="1">
        <v>60629.552999890904</v>
      </c>
      <c r="G948" s="1">
        <v>1679.0</v>
      </c>
      <c r="H948" s="1">
        <v>42.07</v>
      </c>
      <c r="I948" s="1">
        <v>36.11</v>
      </c>
      <c r="J948" s="1">
        <v>5.96</v>
      </c>
      <c r="K948" s="1">
        <v>14.17</v>
      </c>
      <c r="L948" s="1">
        <f t="shared" si="1"/>
        <v>10011.70072</v>
      </c>
      <c r="M948" s="1" t="str">
        <f t="shared" si="2"/>
        <v>Regular</v>
      </c>
      <c r="N948" s="1">
        <f t="shared" si="3"/>
        <v>42.073409</v>
      </c>
      <c r="O948" s="1">
        <f t="shared" si="4"/>
        <v>36.93082492</v>
      </c>
      <c r="P948" s="4">
        <f t="shared" si="5"/>
        <v>0.02135338479</v>
      </c>
    </row>
    <row r="949" ht="15.75" customHeight="1">
      <c r="A949" s="3">
        <v>42585.0</v>
      </c>
      <c r="B949" s="1">
        <v>2016.0</v>
      </c>
      <c r="C949" s="1">
        <v>8.0</v>
      </c>
      <c r="D949" s="1" t="s">
        <v>24</v>
      </c>
      <c r="E949" s="1">
        <v>48442.17147996025</v>
      </c>
      <c r="F949" s="1">
        <v>41610.78393994882</v>
      </c>
      <c r="G949" s="1">
        <v>1152.0</v>
      </c>
      <c r="H949" s="1">
        <v>42.05</v>
      </c>
      <c r="I949" s="1">
        <v>36.12</v>
      </c>
      <c r="J949" s="1">
        <v>5.93</v>
      </c>
      <c r="K949" s="1">
        <v>14.1</v>
      </c>
      <c r="L949" s="1">
        <f t="shared" si="1"/>
        <v>6831.38754</v>
      </c>
      <c r="M949" s="1" t="str">
        <f t="shared" si="2"/>
        <v>Regular</v>
      </c>
      <c r="N949" s="1">
        <f t="shared" si="3"/>
        <v>42.05049608</v>
      </c>
      <c r="O949" s="1">
        <f t="shared" si="4"/>
        <v>36.93528451</v>
      </c>
      <c r="P949" s="4">
        <f t="shared" si="5"/>
        <v>0.02062332105</v>
      </c>
    </row>
    <row r="950" ht="15.75" customHeight="1">
      <c r="A950" s="3">
        <v>42586.0</v>
      </c>
      <c r="B950" s="1">
        <v>2016.0</v>
      </c>
      <c r="C950" s="1">
        <v>8.0</v>
      </c>
      <c r="D950" s="1" t="s">
        <v>24</v>
      </c>
      <c r="E950" s="1">
        <v>46291.371916890246</v>
      </c>
      <c r="F950" s="1">
        <v>39783.36066805456</v>
      </c>
      <c r="G950" s="1">
        <v>1101.0</v>
      </c>
      <c r="H950" s="1">
        <v>42.04</v>
      </c>
      <c r="I950" s="1">
        <v>36.13</v>
      </c>
      <c r="J950" s="1">
        <v>5.91</v>
      </c>
      <c r="K950" s="1">
        <v>14.06</v>
      </c>
      <c r="L950" s="1">
        <f t="shared" si="1"/>
        <v>6508.011249</v>
      </c>
      <c r="M950" s="1" t="str">
        <f t="shared" si="2"/>
        <v>Regular</v>
      </c>
      <c r="N950" s="1">
        <f t="shared" si="3"/>
        <v>42.04484279</v>
      </c>
      <c r="O950" s="1">
        <f t="shared" si="4"/>
        <v>36.93833521</v>
      </c>
      <c r="P950" s="4">
        <f t="shared" si="5"/>
        <v>0.02012048279</v>
      </c>
    </row>
    <row r="951" ht="15.75" customHeight="1">
      <c r="A951" s="3">
        <v>42587.0</v>
      </c>
      <c r="B951" s="1">
        <v>2016.0</v>
      </c>
      <c r="C951" s="1">
        <v>8.0</v>
      </c>
      <c r="D951" s="1" t="s">
        <v>24</v>
      </c>
      <c r="E951" s="1">
        <v>73453.14329216964</v>
      </c>
      <c r="F951" s="1">
        <v>63386.49259136123</v>
      </c>
      <c r="G951" s="1">
        <v>1746.0</v>
      </c>
      <c r="H951" s="1">
        <v>42.07</v>
      </c>
      <c r="I951" s="1">
        <v>36.3</v>
      </c>
      <c r="J951" s="1">
        <v>5.77</v>
      </c>
      <c r="K951" s="1">
        <v>13.7</v>
      </c>
      <c r="L951" s="1">
        <f t="shared" si="1"/>
        <v>10066.6507</v>
      </c>
      <c r="M951" s="1" t="str">
        <f t="shared" si="2"/>
        <v>Regular</v>
      </c>
      <c r="N951" s="1">
        <f t="shared" si="3"/>
        <v>42.06938333</v>
      </c>
      <c r="O951" s="1">
        <f t="shared" si="4"/>
        <v>36.94122427</v>
      </c>
      <c r="P951" s="4">
        <f t="shared" si="5"/>
        <v>0.01963776695</v>
      </c>
    </row>
    <row r="952" ht="15.75" customHeight="1">
      <c r="A952" s="3">
        <v>42588.0</v>
      </c>
      <c r="B952" s="1">
        <v>2016.0</v>
      </c>
      <c r="C952" s="1">
        <v>8.0</v>
      </c>
      <c r="D952" s="1" t="s">
        <v>24</v>
      </c>
      <c r="E952" s="1">
        <v>71508.89795408952</v>
      </c>
      <c r="F952" s="1">
        <v>61500.57464854112</v>
      </c>
      <c r="G952" s="1">
        <v>1700.0</v>
      </c>
      <c r="H952" s="1">
        <v>42.06</v>
      </c>
      <c r="I952" s="1">
        <v>36.18</v>
      </c>
      <c r="J952" s="1">
        <v>5.89</v>
      </c>
      <c r="K952" s="1">
        <v>14.0</v>
      </c>
      <c r="L952" s="1">
        <f t="shared" si="1"/>
        <v>10008.32331</v>
      </c>
      <c r="M952" s="1" t="str">
        <f t="shared" si="2"/>
        <v>Regular</v>
      </c>
      <c r="N952" s="1">
        <f t="shared" si="3"/>
        <v>42.06405762</v>
      </c>
      <c r="O952" s="1">
        <f t="shared" si="4"/>
        <v>36.94487497</v>
      </c>
      <c r="P952" s="4">
        <f t="shared" si="5"/>
        <v>0.01888647237</v>
      </c>
    </row>
    <row r="953" ht="15.75" customHeight="1">
      <c r="A953" s="3">
        <v>42589.0</v>
      </c>
      <c r="B953" s="1">
        <v>2016.0</v>
      </c>
      <c r="C953" s="1">
        <v>8.0</v>
      </c>
      <c r="D953" s="1" t="s">
        <v>24</v>
      </c>
      <c r="E953" s="1">
        <v>30066.126182850126</v>
      </c>
      <c r="F953" s="1">
        <v>25872.488354075816</v>
      </c>
      <c r="G953" s="1">
        <v>715.0</v>
      </c>
      <c r="H953" s="1">
        <v>42.05</v>
      </c>
      <c r="I953" s="1">
        <v>36.19</v>
      </c>
      <c r="J953" s="1">
        <v>5.87</v>
      </c>
      <c r="K953" s="1">
        <v>13.95</v>
      </c>
      <c r="L953" s="1">
        <f t="shared" si="1"/>
        <v>4193.637829</v>
      </c>
      <c r="M953" s="1" t="str">
        <f t="shared" si="2"/>
        <v>Regular</v>
      </c>
      <c r="N953" s="1">
        <f t="shared" si="3"/>
        <v>42.05052613</v>
      </c>
      <c r="O953" s="1">
        <f t="shared" si="4"/>
        <v>36.94918225</v>
      </c>
      <c r="P953" s="4">
        <f t="shared" si="5"/>
        <v>0.01812752486</v>
      </c>
    </row>
    <row r="954" ht="15.75" customHeight="1">
      <c r="A954" s="3">
        <v>42590.0</v>
      </c>
      <c r="B954" s="1">
        <v>2016.0</v>
      </c>
      <c r="C954" s="1">
        <v>8.0</v>
      </c>
      <c r="D954" s="1" t="s">
        <v>24</v>
      </c>
      <c r="E954" s="1">
        <v>37726.61590317024</v>
      </c>
      <c r="F954" s="1">
        <v>32490.136024940544</v>
      </c>
      <c r="G954" s="1">
        <v>897.0</v>
      </c>
      <c r="H954" s="1">
        <v>42.06</v>
      </c>
      <c r="I954" s="1">
        <v>36.22</v>
      </c>
      <c r="J954" s="1">
        <v>5.84</v>
      </c>
      <c r="K954" s="1">
        <v>13.88</v>
      </c>
      <c r="L954" s="1">
        <f t="shared" si="1"/>
        <v>5236.479878</v>
      </c>
      <c r="M954" s="1" t="str">
        <f t="shared" si="2"/>
        <v>Regular</v>
      </c>
      <c r="N954" s="1">
        <f t="shared" si="3"/>
        <v>42.05865764</v>
      </c>
      <c r="O954" s="1">
        <f t="shared" si="4"/>
        <v>36.95098824</v>
      </c>
      <c r="P954" s="4">
        <f t="shared" si="5"/>
        <v>0.01780683918</v>
      </c>
    </row>
    <row r="955" ht="15.75" customHeight="1">
      <c r="A955" s="3">
        <v>42591.0</v>
      </c>
      <c r="B955" s="1">
        <v>2016.0</v>
      </c>
      <c r="C955" s="1">
        <v>8.0</v>
      </c>
      <c r="D955" s="1" t="s">
        <v>24</v>
      </c>
      <c r="E955" s="1">
        <v>30831.694626900247</v>
      </c>
      <c r="F955" s="1">
        <v>26577.079448522585</v>
      </c>
      <c r="G955" s="1">
        <v>733.0</v>
      </c>
      <c r="H955" s="1">
        <v>42.06</v>
      </c>
      <c r="I955" s="1">
        <v>36.26</v>
      </c>
      <c r="J955" s="1">
        <v>5.8</v>
      </c>
      <c r="K955" s="1">
        <v>13.8</v>
      </c>
      <c r="L955" s="1">
        <f t="shared" si="1"/>
        <v>4254.615178</v>
      </c>
      <c r="M955" s="1" t="str">
        <f t="shared" si="2"/>
        <v>Regular</v>
      </c>
      <c r="N955" s="1">
        <f t="shared" si="3"/>
        <v>42.06233919</v>
      </c>
      <c r="O955" s="1">
        <f t="shared" si="4"/>
        <v>36.95316017</v>
      </c>
      <c r="P955" s="4">
        <f t="shared" si="5"/>
        <v>0.01740430265</v>
      </c>
    </row>
    <row r="956" ht="15.75" customHeight="1">
      <c r="A956" s="3">
        <v>42592.0</v>
      </c>
      <c r="B956" s="1">
        <v>2016.0</v>
      </c>
      <c r="C956" s="1">
        <v>8.0</v>
      </c>
      <c r="D956" s="1" t="s">
        <v>24</v>
      </c>
      <c r="E956" s="1">
        <v>146811.45511516015</v>
      </c>
      <c r="F956" s="1">
        <v>155135.62911183573</v>
      </c>
      <c r="G956" s="1">
        <v>4282.0</v>
      </c>
      <c r="H956" s="1">
        <v>34.29</v>
      </c>
      <c r="I956" s="1">
        <v>36.23</v>
      </c>
      <c r="J956" s="1">
        <v>-1.94</v>
      </c>
      <c r="K956" s="1">
        <v>-5.67</v>
      </c>
      <c r="L956" s="1">
        <f t="shared" si="1"/>
        <v>-8324.173997</v>
      </c>
      <c r="M956" s="1" t="str">
        <f t="shared" si="2"/>
        <v>ON SALE</v>
      </c>
      <c r="N956" s="1">
        <f t="shared" si="3"/>
        <v>34.28572048</v>
      </c>
      <c r="O956" s="1">
        <f t="shared" si="4"/>
        <v>36.9548543</v>
      </c>
      <c r="P956" s="4">
        <f t="shared" si="5"/>
        <v>0.01707553637</v>
      </c>
    </row>
    <row r="957" ht="15.75" customHeight="1">
      <c r="A957" s="3">
        <v>42593.0</v>
      </c>
      <c r="B957" s="1">
        <v>2016.0</v>
      </c>
      <c r="C957" s="1">
        <v>8.0</v>
      </c>
      <c r="D957" s="1" t="s">
        <v>24</v>
      </c>
      <c r="E957" s="1">
        <v>99867.32961908735</v>
      </c>
      <c r="F957" s="1">
        <v>103826.70141247108</v>
      </c>
      <c r="G957" s="1">
        <v>2867.0</v>
      </c>
      <c r="H957" s="1">
        <v>34.83</v>
      </c>
      <c r="I957" s="1">
        <v>36.21</v>
      </c>
      <c r="J957" s="1">
        <v>-1.38</v>
      </c>
      <c r="K957" s="1">
        <v>-3.96</v>
      </c>
      <c r="L957" s="1">
        <f t="shared" si="1"/>
        <v>-3959.371793</v>
      </c>
      <c r="M957" s="1" t="str">
        <f t="shared" si="2"/>
        <v>ON SALE</v>
      </c>
      <c r="N957" s="1">
        <f t="shared" si="3"/>
        <v>34.83339017</v>
      </c>
      <c r="O957" s="1">
        <f t="shared" si="4"/>
        <v>36.96532617</v>
      </c>
      <c r="P957" s="4">
        <f t="shared" si="5"/>
        <v>0.01804587283</v>
      </c>
    </row>
    <row r="958" ht="15.75" customHeight="1">
      <c r="A958" s="3">
        <v>42594.0</v>
      </c>
      <c r="B958" s="1">
        <v>2016.0</v>
      </c>
      <c r="C958" s="1">
        <v>8.0</v>
      </c>
      <c r="D958" s="1" t="s">
        <v>24</v>
      </c>
      <c r="E958" s="1">
        <v>210664.86278147745</v>
      </c>
      <c r="F958" s="1">
        <v>220379.2766765564</v>
      </c>
      <c r="G958" s="1">
        <v>6082.0</v>
      </c>
      <c r="H958" s="1">
        <v>34.64</v>
      </c>
      <c r="I958" s="1">
        <v>36.23</v>
      </c>
      <c r="J958" s="1">
        <v>-1.6</v>
      </c>
      <c r="K958" s="1">
        <v>-4.61</v>
      </c>
      <c r="L958" s="1">
        <f t="shared" si="1"/>
        <v>-9714.413895</v>
      </c>
      <c r="M958" s="1" t="str">
        <f t="shared" si="2"/>
        <v>ON SALE</v>
      </c>
      <c r="N958" s="1">
        <f t="shared" si="3"/>
        <v>34.63743222</v>
      </c>
      <c r="O958" s="1">
        <f t="shared" si="4"/>
        <v>36.97265772</v>
      </c>
      <c r="P958" s="4">
        <f t="shared" si="5"/>
        <v>0.01856670165</v>
      </c>
    </row>
    <row r="959" ht="15.75" customHeight="1">
      <c r="A959" s="3">
        <v>42595.0</v>
      </c>
      <c r="B959" s="1">
        <v>2016.0</v>
      </c>
      <c r="C959" s="1">
        <v>8.0</v>
      </c>
      <c r="D959" s="1" t="s">
        <v>24</v>
      </c>
      <c r="E959" s="1">
        <v>266271.0390730934</v>
      </c>
      <c r="F959" s="1">
        <v>281658.41831912263</v>
      </c>
      <c r="G959" s="1">
        <v>7771.0</v>
      </c>
      <c r="H959" s="1">
        <v>34.26</v>
      </c>
      <c r="I959" s="1">
        <v>36.24</v>
      </c>
      <c r="J959" s="1">
        <v>-1.98</v>
      </c>
      <c r="K959" s="1">
        <v>-5.78</v>
      </c>
      <c r="L959" s="1">
        <f t="shared" si="1"/>
        <v>-15387.37925</v>
      </c>
      <c r="M959" s="1" t="str">
        <f t="shared" si="2"/>
        <v>ON SALE</v>
      </c>
      <c r="N959" s="1">
        <f t="shared" si="3"/>
        <v>34.26470713</v>
      </c>
      <c r="O959" s="1">
        <f t="shared" si="4"/>
        <v>36.98826612</v>
      </c>
      <c r="P959" s="4">
        <f t="shared" si="5"/>
        <v>0.01982234329</v>
      </c>
    </row>
    <row r="960" ht="15.75" customHeight="1">
      <c r="A960" s="3">
        <v>42596.0</v>
      </c>
      <c r="B960" s="1">
        <v>2016.0</v>
      </c>
      <c r="C960" s="1">
        <v>8.0</v>
      </c>
      <c r="D960" s="1" t="s">
        <v>24</v>
      </c>
      <c r="E960" s="1">
        <v>123084.03906941514</v>
      </c>
      <c r="F960" s="1">
        <v>129601.52722661885</v>
      </c>
      <c r="G960" s="1">
        <v>3576.0</v>
      </c>
      <c r="H960" s="1">
        <v>34.42</v>
      </c>
      <c r="I960" s="1">
        <v>36.24</v>
      </c>
      <c r="J960" s="1">
        <v>-1.82</v>
      </c>
      <c r="K960" s="1">
        <v>-5.3</v>
      </c>
      <c r="L960" s="1">
        <f t="shared" si="1"/>
        <v>-6517.488157</v>
      </c>
      <c r="M960" s="1" t="str">
        <f t="shared" si="2"/>
        <v>ON SALE</v>
      </c>
      <c r="N960" s="1">
        <f t="shared" si="3"/>
        <v>34.41947401</v>
      </c>
      <c r="O960" s="1">
        <f t="shared" si="4"/>
        <v>37.00891487</v>
      </c>
      <c r="P960" s="4">
        <f t="shared" si="5"/>
        <v>0.02177461382</v>
      </c>
    </row>
    <row r="961" ht="15.75" customHeight="1">
      <c r="A961" s="3">
        <v>42597.0</v>
      </c>
      <c r="B961" s="1">
        <v>2016.0</v>
      </c>
      <c r="C961" s="1">
        <v>8.0</v>
      </c>
      <c r="D961" s="1" t="s">
        <v>24</v>
      </c>
      <c r="E961" s="1">
        <v>162727.52477714515</v>
      </c>
      <c r="F961" s="1">
        <v>168580.17057143938</v>
      </c>
      <c r="G961" s="1">
        <v>4649.0</v>
      </c>
      <c r="H961" s="1">
        <v>35.0</v>
      </c>
      <c r="I961" s="1">
        <v>36.26</v>
      </c>
      <c r="J961" s="1">
        <v>-1.26</v>
      </c>
      <c r="K961" s="1">
        <v>-3.6</v>
      </c>
      <c r="L961" s="1">
        <f t="shared" si="1"/>
        <v>-5852.645794</v>
      </c>
      <c r="M961" s="1" t="str">
        <f t="shared" si="2"/>
        <v>ON SALE</v>
      </c>
      <c r="N961" s="1">
        <f t="shared" si="3"/>
        <v>35.00269408</v>
      </c>
      <c r="O961" s="1">
        <f t="shared" si="4"/>
        <v>37.01884309</v>
      </c>
      <c r="P961" s="4">
        <f t="shared" si="5"/>
        <v>0.02265373339</v>
      </c>
    </row>
    <row r="962" ht="15.75" customHeight="1">
      <c r="A962" s="3">
        <v>42598.0</v>
      </c>
      <c r="B962" s="1">
        <v>2016.0</v>
      </c>
      <c r="C962" s="1">
        <v>8.0</v>
      </c>
      <c r="D962" s="1" t="s">
        <v>24</v>
      </c>
      <c r="E962" s="1">
        <v>114708.94599404662</v>
      </c>
      <c r="F962" s="1">
        <v>119758.06170346799</v>
      </c>
      <c r="G962" s="1">
        <v>3302.0</v>
      </c>
      <c r="H962" s="1">
        <v>34.74</v>
      </c>
      <c r="I962" s="1">
        <v>36.27</v>
      </c>
      <c r="J962" s="1">
        <v>-1.53</v>
      </c>
      <c r="K962" s="1">
        <v>-4.4</v>
      </c>
      <c r="L962" s="1">
        <f t="shared" si="1"/>
        <v>-5049.115709</v>
      </c>
      <c r="M962" s="1" t="str">
        <f t="shared" si="2"/>
        <v>ON SALE</v>
      </c>
      <c r="N962" s="1">
        <f t="shared" si="3"/>
        <v>34.73923258</v>
      </c>
      <c r="O962" s="1">
        <f t="shared" si="4"/>
        <v>37.03180639</v>
      </c>
      <c r="P962" s="4">
        <f t="shared" si="5"/>
        <v>0.02357989317</v>
      </c>
    </row>
    <row r="963" ht="15.75" customHeight="1">
      <c r="A963" s="3">
        <v>42599.0</v>
      </c>
      <c r="B963" s="1">
        <v>2016.0</v>
      </c>
      <c r="C963" s="1">
        <v>8.0</v>
      </c>
      <c r="D963" s="1" t="s">
        <v>24</v>
      </c>
      <c r="E963" s="1">
        <v>122318.90746898638</v>
      </c>
      <c r="F963" s="1">
        <v>128298.34345694912</v>
      </c>
      <c r="G963" s="1">
        <v>3536.0</v>
      </c>
      <c r="H963" s="1">
        <v>34.59</v>
      </c>
      <c r="I963" s="1">
        <v>36.28</v>
      </c>
      <c r="J963" s="1">
        <v>-1.69</v>
      </c>
      <c r="K963" s="1">
        <v>-4.89</v>
      </c>
      <c r="L963" s="1">
        <f t="shared" si="1"/>
        <v>-5979.435988</v>
      </c>
      <c r="M963" s="1" t="str">
        <f t="shared" si="2"/>
        <v>ON SALE</v>
      </c>
      <c r="N963" s="1">
        <f t="shared" si="3"/>
        <v>34.59245121</v>
      </c>
      <c r="O963" s="1">
        <f t="shared" si="4"/>
        <v>37.04120361</v>
      </c>
      <c r="P963" s="4">
        <f t="shared" si="5"/>
        <v>0.02434121464</v>
      </c>
    </row>
    <row r="964" ht="15.75" customHeight="1">
      <c r="A964" s="3">
        <v>42600.0</v>
      </c>
      <c r="B964" s="1">
        <v>2016.0</v>
      </c>
      <c r="C964" s="1">
        <v>8.0</v>
      </c>
      <c r="D964" s="1" t="s">
        <v>24</v>
      </c>
      <c r="E964" s="1">
        <v>112010.34453149686</v>
      </c>
      <c r="F964" s="1">
        <v>117374.19157936038</v>
      </c>
      <c r="G964" s="1">
        <v>3236.0</v>
      </c>
      <c r="H964" s="1">
        <v>34.61</v>
      </c>
      <c r="I964" s="1">
        <v>36.27</v>
      </c>
      <c r="J964" s="1">
        <v>-1.66</v>
      </c>
      <c r="K964" s="1">
        <v>-4.79</v>
      </c>
      <c r="L964" s="1">
        <f t="shared" si="1"/>
        <v>-5363.847048</v>
      </c>
      <c r="M964" s="1" t="str">
        <f t="shared" si="2"/>
        <v>ON SALE</v>
      </c>
      <c r="N964" s="1">
        <f t="shared" si="3"/>
        <v>34.61382711</v>
      </c>
      <c r="O964" s="1">
        <f t="shared" si="4"/>
        <v>37.05132465</v>
      </c>
      <c r="P964" s="4">
        <f t="shared" si="5"/>
        <v>0.02523133184</v>
      </c>
    </row>
    <row r="965" ht="15.75" customHeight="1">
      <c r="A965" s="3">
        <v>42601.0</v>
      </c>
      <c r="B965" s="1">
        <v>2016.0</v>
      </c>
      <c r="C965" s="1">
        <v>8.0</v>
      </c>
      <c r="D965" s="1" t="s">
        <v>24</v>
      </c>
      <c r="E965" s="1">
        <v>229861.47028057987</v>
      </c>
      <c r="F965" s="1">
        <v>241090.13355630502</v>
      </c>
      <c r="G965" s="1">
        <v>6646.0</v>
      </c>
      <c r="H965" s="1">
        <v>34.59</v>
      </c>
      <c r="I965" s="1">
        <v>36.28</v>
      </c>
      <c r="J965" s="1">
        <v>-1.69</v>
      </c>
      <c r="K965" s="1">
        <v>-4.88</v>
      </c>
      <c r="L965" s="1">
        <f t="shared" si="1"/>
        <v>-11228.66328</v>
      </c>
      <c r="M965" s="1" t="str">
        <f t="shared" si="2"/>
        <v>ON SALE</v>
      </c>
      <c r="N965" s="1">
        <f t="shared" si="3"/>
        <v>34.5864385</v>
      </c>
      <c r="O965" s="1">
        <f t="shared" si="4"/>
        <v>37.06097644</v>
      </c>
      <c r="P965" s="4">
        <f t="shared" si="5"/>
        <v>0.02605440657</v>
      </c>
    </row>
    <row r="966" ht="15.75" customHeight="1">
      <c r="A966" s="3">
        <v>42602.0</v>
      </c>
      <c r="B966" s="1">
        <v>2016.0</v>
      </c>
      <c r="C966" s="1">
        <v>8.0</v>
      </c>
      <c r="D966" s="1" t="s">
        <v>24</v>
      </c>
      <c r="E966" s="1">
        <v>249981.24969419473</v>
      </c>
      <c r="F966" s="1">
        <v>262145.17733741977</v>
      </c>
      <c r="G966" s="1">
        <v>7220.0</v>
      </c>
      <c r="H966" s="1">
        <v>34.62</v>
      </c>
      <c r="I966" s="1">
        <v>36.31</v>
      </c>
      <c r="J966" s="1">
        <v>-1.68</v>
      </c>
      <c r="K966" s="1">
        <v>-4.87</v>
      </c>
      <c r="L966" s="1">
        <f t="shared" si="1"/>
        <v>-12163.92764</v>
      </c>
      <c r="M966" s="1" t="str">
        <f t="shared" si="2"/>
        <v>ON SALE</v>
      </c>
      <c r="N966" s="1">
        <f t="shared" si="3"/>
        <v>34.62344179</v>
      </c>
      <c r="O966" s="1">
        <f t="shared" si="4"/>
        <v>37.08144784</v>
      </c>
      <c r="P966" s="4">
        <f t="shared" si="5"/>
        <v>0.0278256422</v>
      </c>
    </row>
    <row r="967" ht="15.75" customHeight="1">
      <c r="A967" s="3">
        <v>42603.0</v>
      </c>
      <c r="B967" s="1">
        <v>2016.0</v>
      </c>
      <c r="C967" s="1">
        <v>8.0</v>
      </c>
      <c r="D967" s="1" t="s">
        <v>24</v>
      </c>
      <c r="E967" s="1">
        <v>136480.24911670017</v>
      </c>
      <c r="F967" s="1">
        <v>143734.2272151709</v>
      </c>
      <c r="G967" s="1">
        <v>3958.0</v>
      </c>
      <c r="H967" s="1">
        <v>34.48</v>
      </c>
      <c r="I967" s="1">
        <v>36.31</v>
      </c>
      <c r="J967" s="1">
        <v>-1.83</v>
      </c>
      <c r="K967" s="1">
        <v>-5.32</v>
      </c>
      <c r="L967" s="1">
        <f t="shared" si="1"/>
        <v>-7253.978098</v>
      </c>
      <c r="M967" s="1" t="str">
        <f t="shared" si="2"/>
        <v>ON SALE</v>
      </c>
      <c r="N967" s="1">
        <f t="shared" si="3"/>
        <v>34.48212459</v>
      </c>
      <c r="O967" s="1">
        <f t="shared" si="4"/>
        <v>37.10399316</v>
      </c>
      <c r="P967" s="4">
        <f t="shared" si="5"/>
        <v>0.02984448693</v>
      </c>
    </row>
    <row r="968" ht="15.75" customHeight="1">
      <c r="A968" s="3">
        <v>42604.0</v>
      </c>
      <c r="B968" s="1">
        <v>2016.0</v>
      </c>
      <c r="C968" s="1">
        <v>8.0</v>
      </c>
      <c r="D968" s="1" t="s">
        <v>24</v>
      </c>
      <c r="E968" s="1">
        <v>127369.80261433138</v>
      </c>
      <c r="F968" s="1">
        <v>133350.1613822288</v>
      </c>
      <c r="G968" s="1">
        <v>3672.0</v>
      </c>
      <c r="H968" s="1">
        <v>34.69</v>
      </c>
      <c r="I968" s="1">
        <v>36.32</v>
      </c>
      <c r="J968" s="1">
        <v>-1.63</v>
      </c>
      <c r="K968" s="1">
        <v>-4.7</v>
      </c>
      <c r="L968" s="1">
        <f t="shared" si="1"/>
        <v>-5980.358768</v>
      </c>
      <c r="M968" s="1" t="str">
        <f t="shared" si="2"/>
        <v>ON SALE</v>
      </c>
      <c r="N968" s="1">
        <f t="shared" si="3"/>
        <v>34.68676542</v>
      </c>
      <c r="O968" s="1">
        <f t="shared" si="4"/>
        <v>37.11681117</v>
      </c>
      <c r="P968" s="4">
        <f t="shared" si="5"/>
        <v>0.03105799972</v>
      </c>
    </row>
    <row r="969" ht="15.75" customHeight="1">
      <c r="A969" s="3">
        <v>42605.0</v>
      </c>
      <c r="B969" s="1">
        <v>2016.0</v>
      </c>
      <c r="C969" s="1">
        <v>8.0</v>
      </c>
      <c r="D969" s="1" t="s">
        <v>24</v>
      </c>
      <c r="E969" s="1">
        <v>43537.72815822025</v>
      </c>
      <c r="F969" s="1">
        <v>37649.38752799952</v>
      </c>
      <c r="G969" s="1">
        <v>1035.0</v>
      </c>
      <c r="H969" s="1">
        <v>42.07</v>
      </c>
      <c r="I969" s="1">
        <v>36.38</v>
      </c>
      <c r="J969" s="1">
        <v>5.69</v>
      </c>
      <c r="K969" s="1">
        <v>13.52</v>
      </c>
      <c r="L969" s="1">
        <f t="shared" si="1"/>
        <v>5888.34063</v>
      </c>
      <c r="M969" s="1" t="str">
        <f t="shared" si="2"/>
        <v>Regular</v>
      </c>
      <c r="N969" s="1">
        <f t="shared" si="3"/>
        <v>42.06543783</v>
      </c>
      <c r="O969" s="1">
        <f t="shared" si="4"/>
        <v>37.12907276</v>
      </c>
      <c r="P969" s="4">
        <f t="shared" si="5"/>
        <v>0.03213722228</v>
      </c>
    </row>
    <row r="970" ht="15.75" customHeight="1">
      <c r="A970" s="3">
        <v>42606.0</v>
      </c>
      <c r="B970" s="1">
        <v>2016.0</v>
      </c>
      <c r="C970" s="1">
        <v>8.0</v>
      </c>
      <c r="D970" s="1" t="s">
        <v>24</v>
      </c>
      <c r="E970" s="1">
        <v>120407.41326786332</v>
      </c>
      <c r="F970" s="1">
        <v>127699.41591139579</v>
      </c>
      <c r="G970" s="1">
        <v>3549.0</v>
      </c>
      <c r="H970" s="1">
        <v>33.93</v>
      </c>
      <c r="I970" s="1">
        <v>35.98</v>
      </c>
      <c r="J970" s="1">
        <v>-2.05</v>
      </c>
      <c r="K970" s="1">
        <v>-6.06</v>
      </c>
      <c r="L970" s="1">
        <f t="shared" si="1"/>
        <v>-7292.002644</v>
      </c>
      <c r="M970" s="1" t="str">
        <f t="shared" si="2"/>
        <v>ON SALE</v>
      </c>
      <c r="N970" s="1">
        <f t="shared" si="3"/>
        <v>33.92713814</v>
      </c>
      <c r="O970" s="1">
        <f t="shared" si="4"/>
        <v>37.13233352</v>
      </c>
      <c r="P970" s="4">
        <f t="shared" si="5"/>
        <v>0.03164731508</v>
      </c>
    </row>
    <row r="971" ht="15.75" customHeight="1">
      <c r="A971" s="3">
        <v>42607.0</v>
      </c>
      <c r="B971" s="1">
        <v>2016.0</v>
      </c>
      <c r="C971" s="1">
        <v>8.0</v>
      </c>
      <c r="D971" s="1" t="s">
        <v>24</v>
      </c>
      <c r="E971" s="1">
        <v>226375.54313479608</v>
      </c>
      <c r="F971" s="1">
        <v>240429.6855472034</v>
      </c>
      <c r="G971" s="1">
        <v>6647.0</v>
      </c>
      <c r="H971" s="1">
        <v>34.06</v>
      </c>
      <c r="I971" s="1">
        <v>36.17</v>
      </c>
      <c r="J971" s="1">
        <v>-2.11</v>
      </c>
      <c r="K971" s="1">
        <v>-6.21</v>
      </c>
      <c r="L971" s="1">
        <f t="shared" si="1"/>
        <v>-14054.14241</v>
      </c>
      <c r="M971" s="1" t="str">
        <f t="shared" si="2"/>
        <v>ON SALE</v>
      </c>
      <c r="N971" s="1">
        <f t="shared" si="3"/>
        <v>34.05679903</v>
      </c>
      <c r="O971" s="1">
        <f t="shared" si="4"/>
        <v>37.14967836</v>
      </c>
      <c r="P971" s="4">
        <f t="shared" si="5"/>
        <v>0.03287508519</v>
      </c>
    </row>
    <row r="972" ht="15.75" customHeight="1">
      <c r="A972" s="3">
        <v>42608.0</v>
      </c>
      <c r="B972" s="1">
        <v>2016.0</v>
      </c>
      <c r="C972" s="1">
        <v>8.0</v>
      </c>
      <c r="D972" s="1" t="s">
        <v>24</v>
      </c>
      <c r="E972" s="1">
        <v>337900.1782335956</v>
      </c>
      <c r="F972" s="1">
        <v>358772.2503641095</v>
      </c>
      <c r="G972" s="1">
        <v>9908.0</v>
      </c>
      <c r="H972" s="1">
        <v>34.1</v>
      </c>
      <c r="I972" s="1">
        <v>36.21</v>
      </c>
      <c r="J972" s="1">
        <v>-2.11</v>
      </c>
      <c r="K972" s="1">
        <v>-6.18</v>
      </c>
      <c r="L972" s="1">
        <f t="shared" si="1"/>
        <v>-20872.07213</v>
      </c>
      <c r="M972" s="1" t="str">
        <f t="shared" si="2"/>
        <v>ON SALE</v>
      </c>
      <c r="N972" s="1">
        <f t="shared" si="3"/>
        <v>34.10377253</v>
      </c>
      <c r="O972" s="1">
        <f t="shared" si="4"/>
        <v>37.1781099</v>
      </c>
      <c r="P972" s="4">
        <f t="shared" si="5"/>
        <v>0.03531326978</v>
      </c>
    </row>
    <row r="973" ht="15.75" customHeight="1">
      <c r="A973" s="3">
        <v>42609.0</v>
      </c>
      <c r="B973" s="1">
        <v>2016.0</v>
      </c>
      <c r="C973" s="1">
        <v>8.0</v>
      </c>
      <c r="D973" s="1" t="s">
        <v>24</v>
      </c>
      <c r="E973" s="1">
        <v>355069.54010681686</v>
      </c>
      <c r="F973" s="1">
        <v>376755.564483526</v>
      </c>
      <c r="G973" s="1">
        <v>10393.0</v>
      </c>
      <c r="H973" s="1">
        <v>34.16</v>
      </c>
      <c r="I973" s="1">
        <v>36.25</v>
      </c>
      <c r="J973" s="1">
        <v>-2.09</v>
      </c>
      <c r="K973" s="1">
        <v>-6.11</v>
      </c>
      <c r="L973" s="1">
        <f t="shared" si="1"/>
        <v>-21686.02438</v>
      </c>
      <c r="M973" s="1" t="str">
        <f t="shared" si="2"/>
        <v>ON SALE</v>
      </c>
      <c r="N973" s="1">
        <f t="shared" si="3"/>
        <v>34.16429713</v>
      </c>
      <c r="O973" s="1">
        <f t="shared" si="4"/>
        <v>37.22192084</v>
      </c>
      <c r="P973" s="4">
        <f t="shared" si="5"/>
        <v>0.03918235522</v>
      </c>
    </row>
    <row r="974" ht="15.75" customHeight="1">
      <c r="A974" s="3">
        <v>42610.0</v>
      </c>
      <c r="B974" s="1">
        <v>2016.0</v>
      </c>
      <c r="C974" s="1">
        <v>8.0</v>
      </c>
      <c r="D974" s="1" t="s">
        <v>24</v>
      </c>
      <c r="E974" s="1">
        <v>153893.68522805016</v>
      </c>
      <c r="F974" s="1">
        <v>163401.3291540589</v>
      </c>
      <c r="G974" s="1">
        <v>4507.0</v>
      </c>
      <c r="H974" s="1">
        <v>34.15</v>
      </c>
      <c r="I974" s="1">
        <v>36.26</v>
      </c>
      <c r="J974" s="1">
        <v>-2.11</v>
      </c>
      <c r="K974" s="1">
        <v>-6.18</v>
      </c>
      <c r="L974" s="1">
        <f t="shared" si="1"/>
        <v>-9507.643926</v>
      </c>
      <c r="M974" s="1" t="str">
        <f t="shared" si="2"/>
        <v>ON SALE</v>
      </c>
      <c r="N974" s="1">
        <f t="shared" si="3"/>
        <v>34.14548152</v>
      </c>
      <c r="O974" s="1">
        <f t="shared" si="4"/>
        <v>37.2703307</v>
      </c>
      <c r="P974" s="4">
        <f t="shared" si="5"/>
        <v>0.04356449921</v>
      </c>
    </row>
    <row r="975" ht="15.75" customHeight="1">
      <c r="A975" s="3">
        <v>42611.0</v>
      </c>
      <c r="B975" s="1">
        <v>2016.0</v>
      </c>
      <c r="C975" s="1">
        <v>8.0</v>
      </c>
      <c r="D975" s="1" t="s">
        <v>24</v>
      </c>
      <c r="E975" s="1">
        <v>159625.74092242515</v>
      </c>
      <c r="F975" s="1">
        <v>169479.10605406525</v>
      </c>
      <c r="G975" s="1">
        <v>4672.0</v>
      </c>
      <c r="H975" s="1">
        <v>34.17</v>
      </c>
      <c r="I975" s="1">
        <v>36.28</v>
      </c>
      <c r="J975" s="1">
        <v>-2.11</v>
      </c>
      <c r="K975" s="1">
        <v>-6.17</v>
      </c>
      <c r="L975" s="1">
        <f t="shared" si="1"/>
        <v>-9853.365132</v>
      </c>
      <c r="M975" s="1" t="str">
        <f t="shared" si="2"/>
        <v>ON SALE</v>
      </c>
      <c r="N975" s="1">
        <f t="shared" si="3"/>
        <v>34.16646852</v>
      </c>
      <c r="O975" s="1">
        <f t="shared" si="4"/>
        <v>37.29276672</v>
      </c>
      <c r="P975" s="4">
        <f t="shared" si="5"/>
        <v>0.04559871273</v>
      </c>
    </row>
    <row r="976" ht="15.75" customHeight="1">
      <c r="A976" s="3">
        <v>42612.0</v>
      </c>
      <c r="B976" s="1">
        <v>2016.0</v>
      </c>
      <c r="C976" s="1">
        <v>8.0</v>
      </c>
      <c r="D976" s="1" t="s">
        <v>24</v>
      </c>
      <c r="E976" s="1">
        <v>133961.96699285138</v>
      </c>
      <c r="F976" s="1">
        <v>142299.91779184836</v>
      </c>
      <c r="G976" s="1">
        <v>3924.0</v>
      </c>
      <c r="H976" s="1">
        <v>34.14</v>
      </c>
      <c r="I976" s="1">
        <v>36.26</v>
      </c>
      <c r="J976" s="1">
        <v>-2.12</v>
      </c>
      <c r="K976" s="1">
        <v>-6.22</v>
      </c>
      <c r="L976" s="1">
        <f t="shared" si="1"/>
        <v>-8337.950799</v>
      </c>
      <c r="M976" s="1" t="str">
        <f t="shared" si="2"/>
        <v>ON SALE</v>
      </c>
      <c r="N976" s="1">
        <f t="shared" si="3"/>
        <v>34.13913532</v>
      </c>
      <c r="O976" s="1">
        <f t="shared" si="4"/>
        <v>37.31661512</v>
      </c>
      <c r="P976" s="4">
        <f t="shared" si="5"/>
        <v>0.04779231922</v>
      </c>
    </row>
    <row r="977" ht="15.75" customHeight="1">
      <c r="A977" s="3">
        <v>42613.0</v>
      </c>
      <c r="B977" s="1">
        <v>2016.0</v>
      </c>
      <c r="C977" s="1">
        <v>8.0</v>
      </c>
      <c r="D977" s="1" t="s">
        <v>24</v>
      </c>
      <c r="E977" s="1">
        <v>236305.15636647624</v>
      </c>
      <c r="F977" s="1">
        <v>250572.45338779487</v>
      </c>
      <c r="G977" s="1">
        <v>6918.0</v>
      </c>
      <c r="H977" s="1">
        <v>34.16</v>
      </c>
      <c r="I977" s="1">
        <v>36.22</v>
      </c>
      <c r="J977" s="1">
        <v>-2.06</v>
      </c>
      <c r="K977" s="1">
        <v>-6.04</v>
      </c>
      <c r="L977" s="1">
        <f t="shared" si="1"/>
        <v>-14267.29702</v>
      </c>
      <c r="M977" s="1" t="str">
        <f t="shared" si="2"/>
        <v>ON SALE</v>
      </c>
      <c r="N977" s="1">
        <f t="shared" si="3"/>
        <v>34.15801624</v>
      </c>
      <c r="O977" s="1">
        <f t="shared" si="4"/>
        <v>37.33775761</v>
      </c>
      <c r="P977" s="4">
        <f t="shared" si="5"/>
        <v>0.04971261722</v>
      </c>
    </row>
    <row r="978" ht="15.75" customHeight="1">
      <c r="A978" s="3">
        <v>42614.0</v>
      </c>
      <c r="B978" s="1">
        <v>2016.0</v>
      </c>
      <c r="C978" s="1">
        <v>9.0</v>
      </c>
      <c r="D978" s="1" t="s">
        <v>25</v>
      </c>
      <c r="E978" s="1">
        <v>313491.73511881445</v>
      </c>
      <c r="F978" s="1">
        <v>333030.87570402725</v>
      </c>
      <c r="G978" s="1">
        <v>9183.0</v>
      </c>
      <c r="H978" s="1">
        <v>34.14</v>
      </c>
      <c r="I978" s="1">
        <v>36.27</v>
      </c>
      <c r="J978" s="1">
        <v>-2.13</v>
      </c>
      <c r="K978" s="1">
        <v>-6.23</v>
      </c>
      <c r="L978" s="1">
        <f t="shared" si="1"/>
        <v>-19539.14059</v>
      </c>
      <c r="M978" s="1" t="str">
        <f t="shared" si="2"/>
        <v>ON SALE</v>
      </c>
      <c r="N978" s="1">
        <f t="shared" si="3"/>
        <v>34.13827019</v>
      </c>
      <c r="O978" s="1">
        <f t="shared" si="4"/>
        <v>37.37877813</v>
      </c>
      <c r="P978" s="4">
        <f t="shared" si="5"/>
        <v>0.05320932908</v>
      </c>
    </row>
    <row r="979" ht="15.75" customHeight="1">
      <c r="A979" s="3">
        <v>42615.0</v>
      </c>
      <c r="B979" s="1">
        <v>2016.0</v>
      </c>
      <c r="C979" s="1">
        <v>9.0</v>
      </c>
      <c r="D979" s="1" t="s">
        <v>25</v>
      </c>
      <c r="E979" s="1">
        <v>370355.0017342406</v>
      </c>
      <c r="F979" s="1">
        <v>392493.08269182255</v>
      </c>
      <c r="G979" s="1">
        <v>10830.0</v>
      </c>
      <c r="H979" s="1">
        <v>34.2</v>
      </c>
      <c r="I979" s="1">
        <v>36.24</v>
      </c>
      <c r="J979" s="1">
        <v>-2.04</v>
      </c>
      <c r="K979" s="1">
        <v>-5.98</v>
      </c>
      <c r="L979" s="1">
        <f t="shared" si="1"/>
        <v>-22138.08096</v>
      </c>
      <c r="M979" s="1" t="str">
        <f t="shared" si="2"/>
        <v>ON SALE</v>
      </c>
      <c r="N979" s="1">
        <f t="shared" si="3"/>
        <v>34.19713774</v>
      </c>
      <c r="O979" s="1">
        <f t="shared" si="4"/>
        <v>37.43578066</v>
      </c>
      <c r="P979" s="4">
        <f t="shared" si="5"/>
        <v>0.0582919193</v>
      </c>
    </row>
    <row r="980" ht="15.75" customHeight="1">
      <c r="A980" s="3">
        <v>42616.0</v>
      </c>
      <c r="B980" s="1">
        <v>2016.0</v>
      </c>
      <c r="C980" s="1">
        <v>9.0</v>
      </c>
      <c r="D980" s="1" t="s">
        <v>25</v>
      </c>
      <c r="E980" s="1">
        <v>369091.0553924981</v>
      </c>
      <c r="F980" s="1">
        <v>391842.5013978032</v>
      </c>
      <c r="G980" s="1">
        <v>10800.0</v>
      </c>
      <c r="H980" s="1">
        <v>34.18</v>
      </c>
      <c r="I980" s="1">
        <v>36.28</v>
      </c>
      <c r="J980" s="1">
        <v>-2.11</v>
      </c>
      <c r="K980" s="1">
        <v>-6.16</v>
      </c>
      <c r="L980" s="1">
        <f t="shared" si="1"/>
        <v>-22751.44601</v>
      </c>
      <c r="M980" s="1" t="str">
        <f t="shared" si="2"/>
        <v>ON SALE</v>
      </c>
      <c r="N980" s="1">
        <f t="shared" si="3"/>
        <v>34.17509772</v>
      </c>
      <c r="O980" s="1">
        <f t="shared" si="4"/>
        <v>37.51258521</v>
      </c>
      <c r="P980" s="4">
        <f t="shared" si="5"/>
        <v>0.06476430575</v>
      </c>
    </row>
    <row r="981" ht="15.75" customHeight="1">
      <c r="A981" s="3">
        <v>42617.0</v>
      </c>
      <c r="B981" s="1">
        <v>2016.0</v>
      </c>
      <c r="C981" s="1">
        <v>9.0</v>
      </c>
      <c r="D981" s="1" t="s">
        <v>25</v>
      </c>
      <c r="E981" s="1">
        <v>209026.01967195864</v>
      </c>
      <c r="F981" s="1">
        <v>222163.72890927366</v>
      </c>
      <c r="G981" s="1">
        <v>6119.0</v>
      </c>
      <c r="H981" s="1">
        <v>34.16</v>
      </c>
      <c r="I981" s="1">
        <v>36.31</v>
      </c>
      <c r="J981" s="1">
        <v>-2.15</v>
      </c>
      <c r="K981" s="1">
        <v>-6.29</v>
      </c>
      <c r="L981" s="1">
        <f t="shared" si="1"/>
        <v>-13137.70924</v>
      </c>
      <c r="M981" s="1" t="str">
        <f t="shared" si="2"/>
        <v>ON SALE</v>
      </c>
      <c r="N981" s="1">
        <f t="shared" si="3"/>
        <v>34.1601601</v>
      </c>
      <c r="O981" s="1">
        <f t="shared" si="4"/>
        <v>37.59691666</v>
      </c>
      <c r="P981" s="4">
        <f t="shared" si="5"/>
        <v>0.0720692658</v>
      </c>
    </row>
    <row r="982" ht="15.75" customHeight="1">
      <c r="A982" s="3">
        <v>42618.0</v>
      </c>
      <c r="B982" s="1">
        <v>2016.0</v>
      </c>
      <c r="C982" s="1">
        <v>9.0</v>
      </c>
      <c r="D982" s="1" t="s">
        <v>25</v>
      </c>
      <c r="E982" s="1">
        <v>228177.31678002988</v>
      </c>
      <c r="F982" s="1">
        <v>242589.58721854398</v>
      </c>
      <c r="G982" s="1">
        <v>6685.0</v>
      </c>
      <c r="H982" s="1">
        <v>34.13</v>
      </c>
      <c r="I982" s="1">
        <v>36.29</v>
      </c>
      <c r="J982" s="1">
        <v>-2.16</v>
      </c>
      <c r="K982" s="1">
        <v>-6.32</v>
      </c>
      <c r="L982" s="1">
        <f t="shared" si="1"/>
        <v>-14412.27044</v>
      </c>
      <c r="M982" s="1" t="str">
        <f t="shared" si="2"/>
        <v>ON SALE</v>
      </c>
      <c r="N982" s="1">
        <f t="shared" si="3"/>
        <v>34.1327325</v>
      </c>
      <c r="O982" s="1">
        <f t="shared" si="4"/>
        <v>37.64900296</v>
      </c>
      <c r="P982" s="4">
        <f t="shared" si="5"/>
        <v>0.07663434504</v>
      </c>
    </row>
    <row r="983" ht="15.75" customHeight="1">
      <c r="A983" s="3">
        <v>42619.0</v>
      </c>
      <c r="B983" s="1">
        <v>2016.0</v>
      </c>
      <c r="C983" s="1">
        <v>9.0</v>
      </c>
      <c r="D983" s="1" t="s">
        <v>25</v>
      </c>
      <c r="E983" s="1">
        <v>154494.78204917017</v>
      </c>
      <c r="F983" s="1">
        <v>164108.82644458604</v>
      </c>
      <c r="G983" s="1">
        <v>4519.0</v>
      </c>
      <c r="H983" s="1">
        <v>34.19</v>
      </c>
      <c r="I983" s="1">
        <v>36.32</v>
      </c>
      <c r="J983" s="1">
        <v>-2.13</v>
      </c>
      <c r="K983" s="1">
        <v>-6.22</v>
      </c>
      <c r="L983" s="1">
        <f t="shared" si="1"/>
        <v>-9614.044395</v>
      </c>
      <c r="M983" s="1" t="str">
        <f t="shared" si="2"/>
        <v>ON SALE</v>
      </c>
      <c r="N983" s="1">
        <f t="shared" si="3"/>
        <v>34.18782519</v>
      </c>
      <c r="O983" s="1">
        <f t="shared" si="4"/>
        <v>37.71179424</v>
      </c>
      <c r="P983" s="4">
        <f t="shared" si="5"/>
        <v>0.08199579263</v>
      </c>
    </row>
    <row r="984" ht="15.75" customHeight="1">
      <c r="A984" s="3">
        <v>42620.0</v>
      </c>
      <c r="B984" s="1">
        <v>2016.0</v>
      </c>
      <c r="C984" s="1">
        <v>9.0</v>
      </c>
      <c r="D984" s="1" t="s">
        <v>25</v>
      </c>
      <c r="E984" s="1">
        <v>50736.47417220013</v>
      </c>
      <c r="F984" s="1">
        <v>43830.1968528723</v>
      </c>
      <c r="G984" s="1">
        <v>1206.0</v>
      </c>
      <c r="H984" s="1">
        <v>42.07</v>
      </c>
      <c r="I984" s="1">
        <v>36.34</v>
      </c>
      <c r="J984" s="1">
        <v>5.73</v>
      </c>
      <c r="K984" s="1">
        <v>13.61</v>
      </c>
      <c r="L984" s="1">
        <f t="shared" si="1"/>
        <v>6906.277319</v>
      </c>
      <c r="M984" s="1" t="str">
        <f t="shared" si="2"/>
        <v>Regular</v>
      </c>
      <c r="N984" s="1">
        <f t="shared" si="3"/>
        <v>42.07004492</v>
      </c>
      <c r="O984" s="1">
        <f t="shared" si="4"/>
        <v>37.75677159</v>
      </c>
      <c r="P984" s="4">
        <f t="shared" si="5"/>
        <v>0.08584075325</v>
      </c>
    </row>
    <row r="985" ht="15.75" customHeight="1">
      <c r="A985" s="3">
        <v>42621.0</v>
      </c>
      <c r="B985" s="1">
        <v>2016.0</v>
      </c>
      <c r="C985" s="1">
        <v>9.0</v>
      </c>
      <c r="D985" s="1" t="s">
        <v>25</v>
      </c>
      <c r="E985" s="1">
        <v>43292.149236510246</v>
      </c>
      <c r="F985" s="1">
        <v>37391.68088945611</v>
      </c>
      <c r="G985" s="1">
        <v>1029.0</v>
      </c>
      <c r="H985" s="1">
        <v>42.07</v>
      </c>
      <c r="I985" s="1">
        <v>36.34</v>
      </c>
      <c r="J985" s="1">
        <v>5.73</v>
      </c>
      <c r="K985" s="1">
        <v>13.63</v>
      </c>
      <c r="L985" s="1">
        <f t="shared" si="1"/>
        <v>5900.468347</v>
      </c>
      <c r="M985" s="1" t="str">
        <f t="shared" si="2"/>
        <v>Regular</v>
      </c>
      <c r="N985" s="1">
        <f t="shared" si="3"/>
        <v>42.07205951</v>
      </c>
      <c r="O985" s="1">
        <f t="shared" si="4"/>
        <v>37.76902479</v>
      </c>
      <c r="P985" s="4">
        <f t="shared" si="5"/>
        <v>0.08539666296</v>
      </c>
    </row>
    <row r="986" ht="15.75" customHeight="1">
      <c r="A986" s="3">
        <v>42622.0</v>
      </c>
      <c r="B986" s="1">
        <v>2016.0</v>
      </c>
      <c r="C986" s="1">
        <v>9.0</v>
      </c>
      <c r="D986" s="1" t="s">
        <v>25</v>
      </c>
      <c r="E986" s="1">
        <v>77335.91859763415</v>
      </c>
      <c r="F986" s="1">
        <v>69612.12670188746</v>
      </c>
      <c r="G986" s="1">
        <v>1917.0</v>
      </c>
      <c r="H986" s="1">
        <v>40.34</v>
      </c>
      <c r="I986" s="1">
        <v>36.31</v>
      </c>
      <c r="J986" s="1">
        <v>4.03</v>
      </c>
      <c r="K986" s="1">
        <v>9.99</v>
      </c>
      <c r="L986" s="1">
        <f t="shared" si="1"/>
        <v>7723.791896</v>
      </c>
      <c r="M986" s="1" t="str">
        <f t="shared" si="2"/>
        <v>Regular</v>
      </c>
      <c r="N986" s="1">
        <f t="shared" si="3"/>
        <v>40.34215889</v>
      </c>
      <c r="O986" s="1">
        <f t="shared" si="4"/>
        <v>37.77969034</v>
      </c>
      <c r="P986" s="4">
        <f t="shared" si="5"/>
        <v>0.08501016372</v>
      </c>
    </row>
    <row r="987" ht="15.75" customHeight="1">
      <c r="A987" s="3">
        <v>42623.0</v>
      </c>
      <c r="B987" s="1">
        <v>2016.0</v>
      </c>
      <c r="C987" s="1">
        <v>9.0</v>
      </c>
      <c r="D987" s="1" t="s">
        <v>25</v>
      </c>
      <c r="E987" s="1">
        <v>85070.23488973391</v>
      </c>
      <c r="F987" s="1">
        <v>76591.852917485</v>
      </c>
      <c r="G987" s="1">
        <v>2108.0</v>
      </c>
      <c r="H987" s="1">
        <v>40.36</v>
      </c>
      <c r="I987" s="1">
        <v>36.33</v>
      </c>
      <c r="J987" s="1">
        <v>4.02</v>
      </c>
      <c r="K987" s="1">
        <v>9.97</v>
      </c>
      <c r="L987" s="1">
        <f t="shared" si="1"/>
        <v>8478.381972</v>
      </c>
      <c r="M987" s="1" t="str">
        <f t="shared" si="2"/>
        <v>Regular</v>
      </c>
      <c r="N987" s="1">
        <f t="shared" si="3"/>
        <v>40.3558989</v>
      </c>
      <c r="O987" s="1">
        <f t="shared" si="4"/>
        <v>37.80033944</v>
      </c>
      <c r="P987" s="4">
        <f t="shared" si="5"/>
        <v>0.08480577094</v>
      </c>
    </row>
    <row r="988" ht="15.75" customHeight="1">
      <c r="A988" s="3">
        <v>42624.0</v>
      </c>
      <c r="B988" s="1">
        <v>2016.0</v>
      </c>
      <c r="C988" s="1">
        <v>9.0</v>
      </c>
      <c r="D988" s="1" t="s">
        <v>25</v>
      </c>
      <c r="E988" s="1">
        <v>48831.66610537024</v>
      </c>
      <c r="F988" s="1">
        <v>44014.232018730225</v>
      </c>
      <c r="G988" s="1">
        <v>1211.0</v>
      </c>
      <c r="H988" s="1">
        <v>40.32</v>
      </c>
      <c r="I988" s="1">
        <v>36.35</v>
      </c>
      <c r="J988" s="1">
        <v>3.98</v>
      </c>
      <c r="K988" s="1">
        <v>9.87</v>
      </c>
      <c r="L988" s="1">
        <f t="shared" si="1"/>
        <v>4817.434087</v>
      </c>
      <c r="M988" s="1" t="str">
        <f t="shared" si="2"/>
        <v>Regular</v>
      </c>
      <c r="N988" s="1">
        <f t="shared" si="3"/>
        <v>40.3234237</v>
      </c>
      <c r="O988" s="1">
        <f t="shared" si="4"/>
        <v>37.82339995</v>
      </c>
      <c r="P988" s="4">
        <f t="shared" si="5"/>
        <v>0.0845775692</v>
      </c>
    </row>
    <row r="989" ht="15.75" customHeight="1">
      <c r="A989" s="3">
        <v>42625.0</v>
      </c>
      <c r="B989" s="1">
        <v>2016.0</v>
      </c>
      <c r="C989" s="1">
        <v>9.0</v>
      </c>
      <c r="D989" s="1" t="s">
        <v>25</v>
      </c>
      <c r="E989" s="1">
        <v>52075.15717660012</v>
      </c>
      <c r="F989" s="1">
        <v>46884.14250808781</v>
      </c>
      <c r="G989" s="1">
        <v>1291.0</v>
      </c>
      <c r="H989" s="1">
        <v>40.34</v>
      </c>
      <c r="I989" s="1">
        <v>36.32</v>
      </c>
      <c r="J989" s="1">
        <v>4.02</v>
      </c>
      <c r="K989" s="1">
        <v>9.97</v>
      </c>
      <c r="L989" s="1">
        <f t="shared" si="1"/>
        <v>5191.014669</v>
      </c>
      <c r="M989" s="1" t="str">
        <f t="shared" si="2"/>
        <v>Regular</v>
      </c>
      <c r="N989" s="1">
        <f t="shared" si="3"/>
        <v>40.33706985</v>
      </c>
      <c r="O989" s="1">
        <f t="shared" si="4"/>
        <v>37.8368742</v>
      </c>
      <c r="P989" s="4">
        <f t="shared" si="5"/>
        <v>0.08445236152</v>
      </c>
    </row>
    <row r="990" ht="15.75" customHeight="1">
      <c r="A990" s="3">
        <v>42626.0</v>
      </c>
      <c r="B990" s="1">
        <v>2016.0</v>
      </c>
      <c r="C990" s="1">
        <v>9.0</v>
      </c>
      <c r="D990" s="1" t="s">
        <v>25</v>
      </c>
      <c r="E990" s="1">
        <v>30424.726256690126</v>
      </c>
      <c r="F990" s="1">
        <v>27398.588126893694</v>
      </c>
      <c r="G990" s="1">
        <v>755.0</v>
      </c>
      <c r="H990" s="1">
        <v>40.3</v>
      </c>
      <c r="I990" s="1">
        <v>36.29</v>
      </c>
      <c r="J990" s="1">
        <v>4.01</v>
      </c>
      <c r="K990" s="1">
        <v>9.95</v>
      </c>
      <c r="L990" s="1">
        <f t="shared" si="1"/>
        <v>3026.13813</v>
      </c>
      <c r="M990" s="1" t="str">
        <f t="shared" si="2"/>
        <v>Regular</v>
      </c>
      <c r="N990" s="1">
        <f t="shared" si="3"/>
        <v>40.29765067</v>
      </c>
      <c r="O990" s="1">
        <f t="shared" si="4"/>
        <v>37.8517985</v>
      </c>
      <c r="P990" s="4">
        <f t="shared" si="5"/>
        <v>0.08430650301</v>
      </c>
    </row>
    <row r="991" ht="15.75" customHeight="1">
      <c r="A991" s="3">
        <v>42627.0</v>
      </c>
      <c r="B991" s="1">
        <v>2016.0</v>
      </c>
      <c r="C991" s="1">
        <v>9.0</v>
      </c>
      <c r="D991" s="1" t="s">
        <v>25</v>
      </c>
      <c r="E991" s="1">
        <v>20495.113025005</v>
      </c>
      <c r="F991" s="1">
        <v>18375.05260769784</v>
      </c>
      <c r="G991" s="1">
        <v>508.0</v>
      </c>
      <c r="H991" s="1">
        <v>40.34</v>
      </c>
      <c r="I991" s="1">
        <v>36.17</v>
      </c>
      <c r="J991" s="1">
        <v>4.17</v>
      </c>
      <c r="K991" s="1">
        <v>10.34</v>
      </c>
      <c r="L991" s="1">
        <f t="shared" si="1"/>
        <v>2120.060417</v>
      </c>
      <c r="M991" s="1" t="str">
        <f t="shared" si="2"/>
        <v>Regular</v>
      </c>
      <c r="N991" s="1">
        <f t="shared" si="3"/>
        <v>40.34471068</v>
      </c>
      <c r="O991" s="1">
        <f t="shared" si="4"/>
        <v>37.86081672</v>
      </c>
      <c r="P991" s="4">
        <f t="shared" si="5"/>
        <v>0.08422122345</v>
      </c>
    </row>
    <row r="992" ht="15.75" customHeight="1">
      <c r="A992" s="3">
        <v>42628.0</v>
      </c>
      <c r="B992" s="1">
        <v>2016.0</v>
      </c>
      <c r="C992" s="1">
        <v>9.0</v>
      </c>
      <c r="D992" s="1" t="s">
        <v>25</v>
      </c>
      <c r="E992" s="1">
        <v>40742.17168112024</v>
      </c>
      <c r="F992" s="1">
        <v>36464.759814940684</v>
      </c>
      <c r="G992" s="1">
        <v>1010.0</v>
      </c>
      <c r="H992" s="1">
        <v>40.34</v>
      </c>
      <c r="I992" s="1">
        <v>36.1</v>
      </c>
      <c r="J992" s="1">
        <v>4.24</v>
      </c>
      <c r="K992" s="1">
        <v>10.5</v>
      </c>
      <c r="L992" s="1">
        <f t="shared" si="1"/>
        <v>4277.411866</v>
      </c>
      <c r="M992" s="1" t="str">
        <f t="shared" si="2"/>
        <v>Regular</v>
      </c>
      <c r="N992" s="1">
        <f t="shared" si="3"/>
        <v>40.33878384</v>
      </c>
      <c r="O992" s="1">
        <f t="shared" si="4"/>
        <v>37.86740414</v>
      </c>
      <c r="P992" s="4">
        <f t="shared" si="5"/>
        <v>0.08414809405</v>
      </c>
    </row>
    <row r="993" ht="15.75" customHeight="1">
      <c r="A993" s="3">
        <v>42629.0</v>
      </c>
      <c r="B993" s="1">
        <v>2016.0</v>
      </c>
      <c r="C993" s="1">
        <v>9.0</v>
      </c>
      <c r="D993" s="1" t="s">
        <v>25</v>
      </c>
      <c r="E993" s="1">
        <v>69864.83699021953</v>
      </c>
      <c r="F993" s="1">
        <v>62545.19068453311</v>
      </c>
      <c r="G993" s="1">
        <v>1733.0</v>
      </c>
      <c r="H993" s="1">
        <v>40.31</v>
      </c>
      <c r="I993" s="1">
        <v>36.09</v>
      </c>
      <c r="J993" s="1">
        <v>4.22</v>
      </c>
      <c r="K993" s="1">
        <v>10.48</v>
      </c>
      <c r="L993" s="1">
        <f t="shared" si="1"/>
        <v>7319.646306</v>
      </c>
      <c r="M993" s="1" t="str">
        <f t="shared" si="2"/>
        <v>Regular</v>
      </c>
      <c r="N993" s="1">
        <f t="shared" si="3"/>
        <v>40.31438949</v>
      </c>
      <c r="O993" s="1">
        <f t="shared" si="4"/>
        <v>37.88118344</v>
      </c>
      <c r="P993" s="4">
        <f t="shared" si="5"/>
        <v>0.08398928017</v>
      </c>
    </row>
    <row r="994" ht="15.75" customHeight="1">
      <c r="A994" s="3">
        <v>42630.0</v>
      </c>
      <c r="B994" s="1">
        <v>2016.0</v>
      </c>
      <c r="C994" s="1">
        <v>9.0</v>
      </c>
      <c r="D994" s="1" t="s">
        <v>25</v>
      </c>
      <c r="E994" s="1">
        <v>100120.71105323294</v>
      </c>
      <c r="F994" s="1">
        <v>89572.40761502521</v>
      </c>
      <c r="G994" s="1">
        <v>2482.0</v>
      </c>
      <c r="H994" s="1">
        <v>40.34</v>
      </c>
      <c r="I994" s="1">
        <v>36.09</v>
      </c>
      <c r="J994" s="1">
        <v>4.25</v>
      </c>
      <c r="K994" s="1">
        <v>10.54</v>
      </c>
      <c r="L994" s="1">
        <f t="shared" si="1"/>
        <v>10548.30344</v>
      </c>
      <c r="M994" s="1" t="str">
        <f t="shared" si="2"/>
        <v>Regular</v>
      </c>
      <c r="N994" s="1">
        <f t="shared" si="3"/>
        <v>40.33872323</v>
      </c>
      <c r="O994" s="1">
        <f t="shared" si="4"/>
        <v>37.9055119</v>
      </c>
      <c r="P994" s="4">
        <f t="shared" si="5"/>
        <v>0.08371413182</v>
      </c>
    </row>
    <row r="995" ht="15.75" customHeight="1">
      <c r="A995" s="3">
        <v>42631.0</v>
      </c>
      <c r="B995" s="1">
        <v>2016.0</v>
      </c>
      <c r="C995" s="1">
        <v>9.0</v>
      </c>
      <c r="D995" s="1" t="s">
        <v>25</v>
      </c>
      <c r="E995" s="1">
        <v>49825.09703543013</v>
      </c>
      <c r="F995" s="1">
        <v>44593.79688339527</v>
      </c>
      <c r="G995" s="1">
        <v>1235.0</v>
      </c>
      <c r="H995" s="1">
        <v>40.34</v>
      </c>
      <c r="I995" s="1">
        <v>36.11</v>
      </c>
      <c r="J995" s="1">
        <v>4.24</v>
      </c>
      <c r="K995" s="1">
        <v>10.5</v>
      </c>
      <c r="L995" s="1">
        <f t="shared" si="1"/>
        <v>5231.300152</v>
      </c>
      <c r="M995" s="1" t="str">
        <f t="shared" si="2"/>
        <v>Regular</v>
      </c>
      <c r="N995" s="1">
        <f t="shared" si="3"/>
        <v>40.34420813</v>
      </c>
      <c r="O995" s="1">
        <f t="shared" si="4"/>
        <v>37.94156717</v>
      </c>
      <c r="P995" s="4">
        <f t="shared" si="5"/>
        <v>0.08329551999</v>
      </c>
    </row>
    <row r="996" ht="15.75" customHeight="1">
      <c r="A996" s="3">
        <v>42632.0</v>
      </c>
      <c r="B996" s="1">
        <v>2016.0</v>
      </c>
      <c r="C996" s="1">
        <v>9.0</v>
      </c>
      <c r="D996" s="1" t="s">
        <v>25</v>
      </c>
      <c r="E996" s="1">
        <v>46566.462052040246</v>
      </c>
      <c r="F996" s="1">
        <v>41660.44042608371</v>
      </c>
      <c r="G996" s="1">
        <v>1155.0</v>
      </c>
      <c r="H996" s="1">
        <v>40.32</v>
      </c>
      <c r="I996" s="1">
        <v>36.07</v>
      </c>
      <c r="J996" s="1">
        <v>4.25</v>
      </c>
      <c r="K996" s="1">
        <v>10.54</v>
      </c>
      <c r="L996" s="1">
        <f t="shared" si="1"/>
        <v>4906.021626</v>
      </c>
      <c r="M996" s="1" t="str">
        <f t="shared" si="2"/>
        <v>Regular</v>
      </c>
      <c r="N996" s="1">
        <f t="shared" si="3"/>
        <v>40.31728316</v>
      </c>
      <c r="O996" s="1">
        <f t="shared" si="4"/>
        <v>37.95985135</v>
      </c>
      <c r="P996" s="4">
        <f t="shared" si="5"/>
        <v>0.08308462834</v>
      </c>
    </row>
    <row r="997" ht="15.75" customHeight="1">
      <c r="A997" s="3">
        <v>42633.0</v>
      </c>
      <c r="B997" s="1">
        <v>2016.0</v>
      </c>
      <c r="C997" s="1">
        <v>9.0</v>
      </c>
      <c r="D997" s="1" t="s">
        <v>25</v>
      </c>
      <c r="E997" s="1">
        <v>37923.76585578537</v>
      </c>
      <c r="F997" s="1">
        <v>34031.14948711513</v>
      </c>
      <c r="G997" s="1">
        <v>940.0</v>
      </c>
      <c r="H997" s="1">
        <v>40.34</v>
      </c>
      <c r="I997" s="1">
        <v>36.2</v>
      </c>
      <c r="J997" s="1">
        <v>4.14</v>
      </c>
      <c r="K997" s="1">
        <v>10.26</v>
      </c>
      <c r="L997" s="1">
        <f t="shared" si="1"/>
        <v>3892.616369</v>
      </c>
      <c r="M997" s="1" t="str">
        <f t="shared" si="2"/>
        <v>Regular</v>
      </c>
      <c r="N997" s="1">
        <f t="shared" si="3"/>
        <v>40.34443176</v>
      </c>
      <c r="O997" s="1">
        <f t="shared" si="4"/>
        <v>37.9776486</v>
      </c>
      <c r="P997" s="4">
        <f t="shared" si="5"/>
        <v>0.08288047089</v>
      </c>
    </row>
    <row r="998" ht="15.75" customHeight="1">
      <c r="A998" s="3">
        <v>42634.0</v>
      </c>
      <c r="B998" s="1">
        <v>2016.0</v>
      </c>
      <c r="C998" s="1">
        <v>9.0</v>
      </c>
      <c r="D998" s="1" t="s">
        <v>25</v>
      </c>
      <c r="E998" s="1">
        <v>50084.812702065254</v>
      </c>
      <c r="F998" s="1">
        <v>44832.21259897724</v>
      </c>
      <c r="G998" s="1">
        <v>1241.0</v>
      </c>
      <c r="H998" s="1">
        <v>40.36</v>
      </c>
      <c r="I998" s="1">
        <v>36.13</v>
      </c>
      <c r="J998" s="1">
        <v>4.23</v>
      </c>
      <c r="K998" s="1">
        <v>10.49</v>
      </c>
      <c r="L998" s="1">
        <f t="shared" si="1"/>
        <v>5252.600103</v>
      </c>
      <c r="M998" s="1" t="str">
        <f t="shared" si="2"/>
        <v>Regular</v>
      </c>
      <c r="N998" s="1">
        <f t="shared" si="3"/>
        <v>40.35843086</v>
      </c>
      <c r="O998" s="1">
        <f t="shared" si="4"/>
        <v>37.99134974</v>
      </c>
      <c r="P998" s="4">
        <f t="shared" si="5"/>
        <v>0.0827318184</v>
      </c>
    </row>
    <row r="999" ht="15.75" customHeight="1">
      <c r="A999" s="3">
        <v>42635.0</v>
      </c>
      <c r="B999" s="1">
        <v>2016.0</v>
      </c>
      <c r="C999" s="1">
        <v>9.0</v>
      </c>
      <c r="D999" s="1" t="s">
        <v>25</v>
      </c>
      <c r="E999" s="1">
        <v>41885.82827828037</v>
      </c>
      <c r="F999" s="1">
        <v>37565.47859092765</v>
      </c>
      <c r="G999" s="1">
        <v>1039.0</v>
      </c>
      <c r="H999" s="1">
        <v>40.31</v>
      </c>
      <c r="I999" s="1">
        <v>36.16</v>
      </c>
      <c r="J999" s="1">
        <v>4.16</v>
      </c>
      <c r="K999" s="1">
        <v>10.31</v>
      </c>
      <c r="L999" s="1">
        <f t="shared" si="1"/>
        <v>4320.349687</v>
      </c>
      <c r="M999" s="1" t="str">
        <f t="shared" si="2"/>
        <v>Regular</v>
      </c>
      <c r="N999" s="1">
        <f t="shared" si="3"/>
        <v>40.31359796</v>
      </c>
      <c r="O999" s="1">
        <f t="shared" si="4"/>
        <v>38.01056355</v>
      </c>
      <c r="P999" s="4">
        <f t="shared" si="5"/>
        <v>0.08250965199</v>
      </c>
    </row>
    <row r="1000" ht="15.75" customHeight="1">
      <c r="A1000" s="3">
        <v>42636.0</v>
      </c>
      <c r="B1000" s="1">
        <v>2016.0</v>
      </c>
      <c r="C1000" s="1">
        <v>9.0</v>
      </c>
      <c r="D1000" s="1" t="s">
        <v>25</v>
      </c>
      <c r="E1000" s="1">
        <v>147503.57315832516</v>
      </c>
      <c r="F1000" s="1">
        <v>131964.51579369855</v>
      </c>
      <c r="G1000" s="1">
        <v>3657.0</v>
      </c>
      <c r="H1000" s="1">
        <v>40.33</v>
      </c>
      <c r="I1000" s="1">
        <v>36.09</v>
      </c>
      <c r="J1000" s="1">
        <v>4.25</v>
      </c>
      <c r="K1000" s="1">
        <v>10.53</v>
      </c>
      <c r="L1000" s="1">
        <f t="shared" si="1"/>
        <v>15539.05736</v>
      </c>
      <c r="M1000" s="1" t="str">
        <f t="shared" si="2"/>
        <v>Regular</v>
      </c>
      <c r="N1000" s="1">
        <f t="shared" si="3"/>
        <v>40.33458386</v>
      </c>
      <c r="O1000" s="1">
        <f t="shared" si="4"/>
        <v>38.02669998</v>
      </c>
      <c r="P1000" s="4">
        <f t="shared" si="5"/>
        <v>0.08233502703</v>
      </c>
    </row>
    <row r="1001" ht="15.75" customHeight="1">
      <c r="A1001" s="3">
        <v>42637.0</v>
      </c>
      <c r="B1001" s="1">
        <v>2016.0</v>
      </c>
      <c r="C1001" s="1">
        <v>9.0</v>
      </c>
      <c r="D1001" s="1" t="s">
        <v>25</v>
      </c>
      <c r="E1001" s="1">
        <v>151639.18384341136</v>
      </c>
      <c r="F1001" s="1">
        <v>135498.16319719428</v>
      </c>
      <c r="G1001" s="1">
        <v>3758.0</v>
      </c>
      <c r="H1001" s="1">
        <v>40.35</v>
      </c>
      <c r="I1001" s="1">
        <v>36.06</v>
      </c>
      <c r="J1001" s="1">
        <v>4.3</v>
      </c>
      <c r="K1001" s="1">
        <v>10.64</v>
      </c>
      <c r="L1001" s="1">
        <f t="shared" si="1"/>
        <v>16141.02065</v>
      </c>
      <c r="M1001" s="1" t="str">
        <f t="shared" si="2"/>
        <v>Regular</v>
      </c>
      <c r="N1001" s="1">
        <f t="shared" si="3"/>
        <v>40.35103349</v>
      </c>
      <c r="O1001" s="1">
        <f t="shared" si="4"/>
        <v>38.08800875</v>
      </c>
      <c r="P1001" s="4">
        <f t="shared" si="5"/>
        <v>0.08162821464</v>
      </c>
    </row>
    <row r="1002" ht="15.75" customHeight="1">
      <c r="A1002" s="3">
        <v>42638.0</v>
      </c>
      <c r="B1002" s="1">
        <v>2016.0</v>
      </c>
      <c r="C1002" s="1">
        <v>9.0</v>
      </c>
      <c r="D1002" s="1" t="s">
        <v>25</v>
      </c>
      <c r="E1002" s="1">
        <v>72457.29758765452</v>
      </c>
      <c r="F1002" s="1">
        <v>64758.50417358045</v>
      </c>
      <c r="G1002" s="1">
        <v>1797.0</v>
      </c>
      <c r="H1002" s="1">
        <v>40.32</v>
      </c>
      <c r="I1002" s="1">
        <v>36.04</v>
      </c>
      <c r="J1002" s="1">
        <v>4.28</v>
      </c>
      <c r="K1002" s="1">
        <v>10.63</v>
      </c>
      <c r="L1002" s="1">
        <f t="shared" si="1"/>
        <v>7698.793414</v>
      </c>
      <c r="M1002" s="1" t="str">
        <f t="shared" si="2"/>
        <v>Regular</v>
      </c>
      <c r="N1002" s="1">
        <f t="shared" si="3"/>
        <v>40.32125631</v>
      </c>
      <c r="O1002" s="1">
        <f t="shared" si="4"/>
        <v>38.15617114</v>
      </c>
      <c r="P1002" s="4">
        <f t="shared" si="5"/>
        <v>0.08081909088</v>
      </c>
    </row>
    <row r="1003" ht="15.75" customHeight="1">
      <c r="A1003" s="3">
        <v>42639.0</v>
      </c>
      <c r="B1003" s="1">
        <v>2016.0</v>
      </c>
      <c r="C1003" s="1">
        <v>9.0</v>
      </c>
      <c r="D1003" s="1" t="s">
        <v>25</v>
      </c>
      <c r="E1003" s="1">
        <v>67355.06118241463</v>
      </c>
      <c r="F1003" s="1">
        <v>60179.02084931651</v>
      </c>
      <c r="G1003" s="1">
        <v>1671.0</v>
      </c>
      <c r="H1003" s="1">
        <v>40.31</v>
      </c>
      <c r="I1003" s="1">
        <v>36.01</v>
      </c>
      <c r="J1003" s="1">
        <v>4.29</v>
      </c>
      <c r="K1003" s="1">
        <v>10.65</v>
      </c>
      <c r="L1003" s="1">
        <f t="shared" si="1"/>
        <v>7176.040333</v>
      </c>
      <c r="M1003" s="1" t="str">
        <f t="shared" si="2"/>
        <v>Regular</v>
      </c>
      <c r="N1003" s="1">
        <f t="shared" si="3"/>
        <v>40.3082353</v>
      </c>
      <c r="O1003" s="1">
        <f t="shared" si="4"/>
        <v>38.19071581</v>
      </c>
      <c r="P1003" s="4">
        <f t="shared" si="5"/>
        <v>0.08041656438</v>
      </c>
    </row>
    <row r="1004" ht="15.75" customHeight="1">
      <c r="A1004" s="3">
        <v>42640.0</v>
      </c>
      <c r="B1004" s="1">
        <v>2016.0</v>
      </c>
      <c r="C1004" s="1">
        <v>9.0</v>
      </c>
      <c r="D1004" s="1" t="s">
        <v>25</v>
      </c>
      <c r="E1004" s="1">
        <v>58941.792828474885</v>
      </c>
      <c r="F1004" s="1">
        <v>52812.7825145229</v>
      </c>
      <c r="G1004" s="1">
        <v>1462.0</v>
      </c>
      <c r="H1004" s="1">
        <v>40.32</v>
      </c>
      <c r="I1004" s="1">
        <v>36.12</v>
      </c>
      <c r="J1004" s="1">
        <v>4.19</v>
      </c>
      <c r="K1004" s="1">
        <v>10.4</v>
      </c>
      <c r="L1004" s="1">
        <f t="shared" si="1"/>
        <v>6129.010314</v>
      </c>
      <c r="M1004" s="1" t="str">
        <f t="shared" si="2"/>
        <v>Regular</v>
      </c>
      <c r="N1004" s="1">
        <f t="shared" si="3"/>
        <v>40.31586377</v>
      </c>
      <c r="O1004" s="1">
        <f t="shared" si="4"/>
        <v>38.22422199</v>
      </c>
      <c r="P1004" s="4">
        <f t="shared" si="5"/>
        <v>0.08002649013</v>
      </c>
    </row>
    <row r="1005" ht="15.75" customHeight="1">
      <c r="A1005" s="3">
        <v>42641.0</v>
      </c>
      <c r="B1005" s="1">
        <v>2016.0</v>
      </c>
      <c r="C1005" s="1">
        <v>9.0</v>
      </c>
      <c r="D1005" s="1" t="s">
        <v>25</v>
      </c>
      <c r="E1005" s="1">
        <v>58796.785015724636</v>
      </c>
      <c r="F1005" s="1">
        <v>57168.56049843288</v>
      </c>
      <c r="G1005" s="1">
        <v>1581.0</v>
      </c>
      <c r="H1005" s="1">
        <v>37.19</v>
      </c>
      <c r="I1005" s="1">
        <v>36.16</v>
      </c>
      <c r="J1005" s="1">
        <v>1.03</v>
      </c>
      <c r="K1005" s="1">
        <v>2.77</v>
      </c>
      <c r="L1005" s="1">
        <f t="shared" si="1"/>
        <v>1628.224517</v>
      </c>
      <c r="M1005" s="1" t="str">
        <f t="shared" si="2"/>
        <v>Regular</v>
      </c>
      <c r="N1005" s="1">
        <f t="shared" si="3"/>
        <v>37.18961734</v>
      </c>
      <c r="O1005" s="1">
        <f t="shared" si="4"/>
        <v>38.25289507</v>
      </c>
      <c r="P1005" s="4">
        <f t="shared" si="5"/>
        <v>0.07970930112</v>
      </c>
    </row>
    <row r="1006" ht="15.75" customHeight="1">
      <c r="A1006" s="3">
        <v>42642.0</v>
      </c>
      <c r="B1006" s="1">
        <v>2016.0</v>
      </c>
      <c r="C1006" s="1">
        <v>9.0</v>
      </c>
      <c r="D1006" s="1" t="s">
        <v>25</v>
      </c>
      <c r="E1006" s="1">
        <v>57019.38967139464</v>
      </c>
      <c r="F1006" s="1">
        <v>55187.3839062719</v>
      </c>
      <c r="G1006" s="1">
        <v>1534.0</v>
      </c>
      <c r="H1006" s="1">
        <v>37.17</v>
      </c>
      <c r="I1006" s="1">
        <v>35.98</v>
      </c>
      <c r="J1006" s="1">
        <v>1.19</v>
      </c>
      <c r="K1006" s="1">
        <v>3.21</v>
      </c>
      <c r="L1006" s="1">
        <f t="shared" si="1"/>
        <v>1832.005765</v>
      </c>
      <c r="M1006" s="1" t="str">
        <f t="shared" si="2"/>
        <v>Regular</v>
      </c>
      <c r="N1006" s="1">
        <f t="shared" si="3"/>
        <v>37.17039744</v>
      </c>
      <c r="O1006" s="1">
        <f t="shared" si="4"/>
        <v>38.28425539</v>
      </c>
      <c r="P1006" s="4">
        <f t="shared" si="5"/>
        <v>0.08040548333</v>
      </c>
    </row>
    <row r="1007" ht="15.75" customHeight="1">
      <c r="A1007" s="3">
        <v>42643.0</v>
      </c>
      <c r="B1007" s="1">
        <v>2016.0</v>
      </c>
      <c r="C1007" s="1">
        <v>9.0</v>
      </c>
      <c r="D1007" s="1" t="s">
        <v>25</v>
      </c>
      <c r="E1007" s="1">
        <v>155918.38259948257</v>
      </c>
      <c r="F1007" s="1">
        <v>151036.44551858705</v>
      </c>
      <c r="G1007" s="1">
        <v>4216.0</v>
      </c>
      <c r="H1007" s="1">
        <v>36.98</v>
      </c>
      <c r="I1007" s="1">
        <v>35.82</v>
      </c>
      <c r="J1007" s="1">
        <v>1.16</v>
      </c>
      <c r="K1007" s="1">
        <v>3.13</v>
      </c>
      <c r="L1007" s="1">
        <f t="shared" si="1"/>
        <v>4881.937081</v>
      </c>
      <c r="M1007" s="1" t="str">
        <f t="shared" si="2"/>
        <v>Regular</v>
      </c>
      <c r="N1007" s="1">
        <f t="shared" si="3"/>
        <v>36.98253857</v>
      </c>
      <c r="O1007" s="1">
        <f t="shared" si="4"/>
        <v>38.31830351</v>
      </c>
      <c r="P1007" s="4">
        <f t="shared" si="5"/>
        <v>0.08104030552</v>
      </c>
    </row>
    <row r="1008" ht="15.75" customHeight="1">
      <c r="A1008" s="3">
        <v>42644.0</v>
      </c>
      <c r="B1008" s="1">
        <v>2016.0</v>
      </c>
      <c r="C1008" s="1">
        <v>10.0</v>
      </c>
      <c r="D1008" s="1" t="s">
        <v>26</v>
      </c>
      <c r="E1008" s="1">
        <v>208489.09032479016</v>
      </c>
      <c r="F1008" s="1">
        <v>201416.83759006465</v>
      </c>
      <c r="G1008" s="1">
        <v>5632.0</v>
      </c>
      <c r="H1008" s="1">
        <v>37.02</v>
      </c>
      <c r="I1008" s="1">
        <v>35.76</v>
      </c>
      <c r="J1008" s="1">
        <v>1.26</v>
      </c>
      <c r="K1008" s="1">
        <v>3.39</v>
      </c>
      <c r="L1008" s="1">
        <f t="shared" si="1"/>
        <v>7072.252735</v>
      </c>
      <c r="M1008" s="1" t="str">
        <f t="shared" si="2"/>
        <v>Regular</v>
      </c>
      <c r="N1008" s="1">
        <f t="shared" si="3"/>
        <v>37.0186595</v>
      </c>
      <c r="O1008" s="1">
        <f t="shared" si="4"/>
        <v>38.42367687</v>
      </c>
      <c r="P1008" s="4">
        <f t="shared" si="5"/>
        <v>0.08289517647</v>
      </c>
    </row>
    <row r="1009" ht="15.75" customHeight="1">
      <c r="A1009" s="3">
        <v>42645.0</v>
      </c>
      <c r="B1009" s="1">
        <v>2016.0</v>
      </c>
      <c r="C1009" s="1">
        <v>10.0</v>
      </c>
      <c r="D1009" s="1" t="s">
        <v>26</v>
      </c>
      <c r="E1009" s="1">
        <v>118580.4725762977</v>
      </c>
      <c r="F1009" s="1">
        <v>113346.95726852612</v>
      </c>
      <c r="G1009" s="1">
        <v>3173.0</v>
      </c>
      <c r="H1009" s="1">
        <v>37.37</v>
      </c>
      <c r="I1009" s="1">
        <v>35.72</v>
      </c>
      <c r="J1009" s="1">
        <v>1.65</v>
      </c>
      <c r="K1009" s="1">
        <v>4.41</v>
      </c>
      <c r="L1009" s="1">
        <f t="shared" si="1"/>
        <v>5233.515308</v>
      </c>
      <c r="M1009" s="1" t="str">
        <f t="shared" si="2"/>
        <v>Regular</v>
      </c>
      <c r="N1009" s="1">
        <f t="shared" si="3"/>
        <v>37.37172158</v>
      </c>
      <c r="O1009" s="1">
        <f t="shared" si="4"/>
        <v>38.58285461</v>
      </c>
      <c r="P1009" s="4">
        <f t="shared" si="5"/>
        <v>0.08546597803</v>
      </c>
    </row>
    <row r="1010" ht="15.75" customHeight="1">
      <c r="A1010" s="3">
        <v>42646.0</v>
      </c>
      <c r="B1010" s="1">
        <v>2016.0</v>
      </c>
      <c r="C1010" s="1">
        <v>10.0</v>
      </c>
      <c r="D1010" s="1" t="s">
        <v>26</v>
      </c>
      <c r="E1010" s="1">
        <v>142758.88112151137</v>
      </c>
      <c r="F1010" s="1">
        <v>126506.34468214824</v>
      </c>
      <c r="G1010" s="1">
        <v>3540.0</v>
      </c>
      <c r="H1010" s="1">
        <v>40.33</v>
      </c>
      <c r="I1010" s="1">
        <v>35.74</v>
      </c>
      <c r="J1010" s="1">
        <v>4.59</v>
      </c>
      <c r="K1010" s="1">
        <v>11.38</v>
      </c>
      <c r="L1010" s="1">
        <f t="shared" si="1"/>
        <v>16252.53644</v>
      </c>
      <c r="M1010" s="1" t="str">
        <f t="shared" si="2"/>
        <v>Regular</v>
      </c>
      <c r="N1010" s="1">
        <f t="shared" si="3"/>
        <v>40.32736755</v>
      </c>
      <c r="O1010" s="1">
        <f t="shared" si="4"/>
        <v>38.6826297</v>
      </c>
      <c r="P1010" s="4">
        <f t="shared" si="5"/>
        <v>0.08673795093</v>
      </c>
    </row>
    <row r="1011" ht="15.75" customHeight="1">
      <c r="A1011" s="3">
        <v>42647.0</v>
      </c>
      <c r="B1011" s="1">
        <v>2016.0</v>
      </c>
      <c r="C1011" s="1">
        <v>10.0</v>
      </c>
      <c r="D1011" s="1" t="s">
        <v>26</v>
      </c>
      <c r="E1011" s="1">
        <v>96620.9869297833</v>
      </c>
      <c r="F1011" s="1">
        <v>85491.83324442239</v>
      </c>
      <c r="G1011" s="1">
        <v>2397.0</v>
      </c>
      <c r="H1011" s="1">
        <v>40.31</v>
      </c>
      <c r="I1011" s="1">
        <v>35.67</v>
      </c>
      <c r="J1011" s="1">
        <v>4.64</v>
      </c>
      <c r="K1011" s="1">
        <v>11.52</v>
      </c>
      <c r="L1011" s="1">
        <f t="shared" si="1"/>
        <v>11129.15369</v>
      </c>
      <c r="M1011" s="1" t="str">
        <f t="shared" si="2"/>
        <v>Regular</v>
      </c>
      <c r="N1011" s="1">
        <f t="shared" si="3"/>
        <v>40.30913097</v>
      </c>
      <c r="O1011" s="1">
        <f t="shared" si="4"/>
        <v>38.80192838</v>
      </c>
      <c r="P1011" s="4">
        <f t="shared" si="5"/>
        <v>0.08569495001</v>
      </c>
    </row>
    <row r="1012" ht="15.75" customHeight="1">
      <c r="A1012" s="3">
        <v>42648.0</v>
      </c>
      <c r="B1012" s="1">
        <v>2016.0</v>
      </c>
      <c r="C1012" s="1">
        <v>10.0</v>
      </c>
      <c r="D1012" s="1" t="s">
        <v>26</v>
      </c>
      <c r="E1012" s="1">
        <v>78861.59494048428</v>
      </c>
      <c r="F1012" s="1">
        <v>69675.42915398542</v>
      </c>
      <c r="G1012" s="1">
        <v>1955.0</v>
      </c>
      <c r="H1012" s="1">
        <v>40.34</v>
      </c>
      <c r="I1012" s="1">
        <v>35.64</v>
      </c>
      <c r="J1012" s="1">
        <v>4.7</v>
      </c>
      <c r="K1012" s="1">
        <v>11.65</v>
      </c>
      <c r="L1012" s="1">
        <f t="shared" si="1"/>
        <v>9186.165786</v>
      </c>
      <c r="M1012" s="1" t="str">
        <f t="shared" si="2"/>
        <v>Regular</v>
      </c>
      <c r="N1012" s="1">
        <f t="shared" si="3"/>
        <v>40.33841173</v>
      </c>
      <c r="O1012" s="1">
        <f t="shared" si="4"/>
        <v>38.89032321</v>
      </c>
      <c r="P1012" s="4">
        <f t="shared" si="5"/>
        <v>0.08490651125</v>
      </c>
    </row>
    <row r="1013" ht="15.75" customHeight="1">
      <c r="A1013" s="3">
        <v>42649.0</v>
      </c>
      <c r="B1013" s="1">
        <v>2016.0</v>
      </c>
      <c r="C1013" s="1">
        <v>10.0</v>
      </c>
      <c r="D1013" s="1" t="s">
        <v>26</v>
      </c>
      <c r="E1013" s="1">
        <v>70279.47439286964</v>
      </c>
      <c r="F1013" s="1">
        <v>61976.3057914763</v>
      </c>
      <c r="G1013" s="1">
        <v>1740.0</v>
      </c>
      <c r="H1013" s="1">
        <v>40.39</v>
      </c>
      <c r="I1013" s="1">
        <v>35.62</v>
      </c>
      <c r="J1013" s="1">
        <v>4.77</v>
      </c>
      <c r="K1013" s="1">
        <v>11.81</v>
      </c>
      <c r="L1013" s="1">
        <f t="shared" si="1"/>
        <v>8303.168601</v>
      </c>
      <c r="M1013" s="1" t="str">
        <f t="shared" si="2"/>
        <v>Regular</v>
      </c>
      <c r="N1013" s="1">
        <f t="shared" si="3"/>
        <v>40.39050252</v>
      </c>
      <c r="O1013" s="1">
        <f t="shared" si="4"/>
        <v>38.96682035</v>
      </c>
      <c r="P1013" s="4">
        <f t="shared" si="5"/>
        <v>0.08420201923</v>
      </c>
    </row>
    <row r="1014" ht="15.75" customHeight="1">
      <c r="A1014" s="3">
        <v>42650.0</v>
      </c>
      <c r="B1014" s="1">
        <v>2016.0</v>
      </c>
      <c r="C1014" s="1">
        <v>10.0</v>
      </c>
      <c r="D1014" s="1" t="s">
        <v>26</v>
      </c>
      <c r="E1014" s="1">
        <v>87748.86289121355</v>
      </c>
      <c r="F1014" s="1">
        <v>77446.6094358004</v>
      </c>
      <c r="G1014" s="1">
        <v>2176.0</v>
      </c>
      <c r="H1014" s="1">
        <v>40.33</v>
      </c>
      <c r="I1014" s="1">
        <v>35.59</v>
      </c>
      <c r="J1014" s="1">
        <v>4.73</v>
      </c>
      <c r="K1014" s="1">
        <v>11.74</v>
      </c>
      <c r="L1014" s="1">
        <f t="shared" si="1"/>
        <v>10302.25346</v>
      </c>
      <c r="M1014" s="1" t="str">
        <f t="shared" si="2"/>
        <v>Regular</v>
      </c>
      <c r="N1014" s="1">
        <f t="shared" si="3"/>
        <v>40.3257642</v>
      </c>
      <c r="O1014" s="1">
        <f t="shared" si="4"/>
        <v>39.0384478</v>
      </c>
      <c r="P1014" s="4">
        <f t="shared" si="5"/>
        <v>0.08351348761</v>
      </c>
    </row>
    <row r="1015" ht="15.75" customHeight="1">
      <c r="A1015" s="3">
        <v>42651.0</v>
      </c>
      <c r="B1015" s="1">
        <v>2016.0</v>
      </c>
      <c r="C1015" s="1">
        <v>10.0</v>
      </c>
      <c r="D1015" s="1" t="s">
        <v>26</v>
      </c>
      <c r="E1015" s="1">
        <v>92053.32576997319</v>
      </c>
      <c r="F1015" s="1">
        <v>81209.24834701055</v>
      </c>
      <c r="G1015" s="1">
        <v>2283.0</v>
      </c>
      <c r="H1015" s="1">
        <v>40.32</v>
      </c>
      <c r="I1015" s="1">
        <v>35.57</v>
      </c>
      <c r="J1015" s="1">
        <v>4.75</v>
      </c>
      <c r="K1015" s="1">
        <v>11.78</v>
      </c>
      <c r="L1015" s="1">
        <f t="shared" si="1"/>
        <v>10844.07742</v>
      </c>
      <c r="M1015" s="1" t="str">
        <f t="shared" si="2"/>
        <v>Regular</v>
      </c>
      <c r="N1015" s="1">
        <f t="shared" si="3"/>
        <v>40.32121146</v>
      </c>
      <c r="O1015" s="1">
        <f t="shared" si="4"/>
        <v>39.13320472</v>
      </c>
      <c r="P1015" s="4">
        <f t="shared" si="5"/>
        <v>0.08263277682</v>
      </c>
    </row>
    <row r="1016" ht="15.75" customHeight="1">
      <c r="A1016" s="3">
        <v>42652.0</v>
      </c>
      <c r="B1016" s="1">
        <v>2016.0</v>
      </c>
      <c r="C1016" s="1">
        <v>10.0</v>
      </c>
      <c r="D1016" s="1" t="s">
        <v>26</v>
      </c>
      <c r="E1016" s="1">
        <v>51751.38324691001</v>
      </c>
      <c r="F1016" s="1">
        <v>45607.23409969739</v>
      </c>
      <c r="G1016" s="1">
        <v>1284.0</v>
      </c>
      <c r="H1016" s="1">
        <v>40.3</v>
      </c>
      <c r="I1016" s="1">
        <v>35.52</v>
      </c>
      <c r="J1016" s="1">
        <v>4.79</v>
      </c>
      <c r="K1016" s="1">
        <v>11.87</v>
      </c>
      <c r="L1016" s="1">
        <f t="shared" si="1"/>
        <v>6144.149147</v>
      </c>
      <c r="M1016" s="1" t="str">
        <f t="shared" si="2"/>
        <v>Regular</v>
      </c>
      <c r="N1016" s="1">
        <f t="shared" si="3"/>
        <v>40.30481561</v>
      </c>
      <c r="O1016" s="1">
        <f t="shared" si="4"/>
        <v>39.23898086</v>
      </c>
      <c r="P1016" s="4">
        <f t="shared" si="5"/>
        <v>0.08164719299</v>
      </c>
    </row>
    <row r="1017" ht="15.75" customHeight="1">
      <c r="A1017" s="3">
        <v>42653.0</v>
      </c>
      <c r="B1017" s="1">
        <v>2016.0</v>
      </c>
      <c r="C1017" s="1">
        <v>10.0</v>
      </c>
      <c r="D1017" s="1" t="s">
        <v>26</v>
      </c>
      <c r="E1017" s="1">
        <v>50934.98319385512</v>
      </c>
      <c r="F1017" s="1">
        <v>44983.77730244202</v>
      </c>
      <c r="G1017" s="1">
        <v>1263.0</v>
      </c>
      <c r="H1017" s="1">
        <v>40.33</v>
      </c>
      <c r="I1017" s="1">
        <v>35.62</v>
      </c>
      <c r="J1017" s="1">
        <v>4.71</v>
      </c>
      <c r="K1017" s="1">
        <v>11.68</v>
      </c>
      <c r="L1017" s="1">
        <f t="shared" si="1"/>
        <v>5951.205891</v>
      </c>
      <c r="M1017" s="1" t="str">
        <f t="shared" si="2"/>
        <v>Regular</v>
      </c>
      <c r="N1017" s="1">
        <f t="shared" si="3"/>
        <v>40.32856943</v>
      </c>
      <c r="O1017" s="1">
        <f t="shared" si="4"/>
        <v>39.30215542</v>
      </c>
      <c r="P1017" s="4">
        <f t="shared" si="5"/>
        <v>0.0810537011</v>
      </c>
    </row>
    <row r="1018" ht="15.75" customHeight="1">
      <c r="A1018" s="3">
        <v>42654.0</v>
      </c>
      <c r="B1018" s="1">
        <v>2016.0</v>
      </c>
      <c r="C1018" s="1">
        <v>10.0</v>
      </c>
      <c r="D1018" s="1" t="s">
        <v>26</v>
      </c>
      <c r="E1018" s="1">
        <v>36113.934872670245</v>
      </c>
      <c r="F1018" s="1">
        <v>31885.28845033081</v>
      </c>
      <c r="G1018" s="1">
        <v>896.0</v>
      </c>
      <c r="H1018" s="1">
        <v>40.31</v>
      </c>
      <c r="I1018" s="1">
        <v>35.59</v>
      </c>
      <c r="J1018" s="1">
        <v>4.72</v>
      </c>
      <c r="K1018" s="1">
        <v>11.71</v>
      </c>
      <c r="L1018" s="1">
        <f t="shared" si="1"/>
        <v>4228.646422</v>
      </c>
      <c r="M1018" s="1" t="str">
        <f t="shared" si="2"/>
        <v>Regular</v>
      </c>
      <c r="N1018" s="1">
        <f t="shared" si="3"/>
        <v>40.30573088</v>
      </c>
      <c r="O1018" s="1">
        <f t="shared" si="4"/>
        <v>39.36477861</v>
      </c>
      <c r="P1018" s="4">
        <f t="shared" si="5"/>
        <v>0.08048089587</v>
      </c>
    </row>
    <row r="1019" ht="15.75" customHeight="1">
      <c r="A1019" s="3">
        <v>42655.0</v>
      </c>
      <c r="B1019" s="1">
        <v>2016.0</v>
      </c>
      <c r="C1019" s="1">
        <v>10.0</v>
      </c>
      <c r="D1019" s="1" t="s">
        <v>26</v>
      </c>
      <c r="E1019" s="1">
        <v>31023.359765175122</v>
      </c>
      <c r="F1019" s="1">
        <v>27817.642466410718</v>
      </c>
      <c r="G1019" s="1">
        <v>768.0</v>
      </c>
      <c r="H1019" s="1">
        <v>40.39</v>
      </c>
      <c r="I1019" s="1">
        <v>36.22</v>
      </c>
      <c r="J1019" s="1">
        <v>4.17</v>
      </c>
      <c r="K1019" s="1">
        <v>10.33</v>
      </c>
      <c r="L1019" s="1">
        <f t="shared" si="1"/>
        <v>3205.717299</v>
      </c>
      <c r="M1019" s="1" t="str">
        <f t="shared" si="2"/>
        <v>Regular</v>
      </c>
      <c r="N1019" s="1">
        <f t="shared" si="3"/>
        <v>40.39499969</v>
      </c>
      <c r="O1019" s="1">
        <f t="shared" si="4"/>
        <v>39.41088133</v>
      </c>
      <c r="P1019" s="4">
        <f t="shared" si="5"/>
        <v>0.08006062869</v>
      </c>
    </row>
    <row r="1020" ht="15.75" customHeight="1">
      <c r="A1020" s="3">
        <v>42656.0</v>
      </c>
      <c r="B1020" s="1">
        <v>2016.0</v>
      </c>
      <c r="C1020" s="1">
        <v>10.0</v>
      </c>
      <c r="D1020" s="1" t="s">
        <v>26</v>
      </c>
      <c r="E1020" s="1">
        <v>22334.212530660003</v>
      </c>
      <c r="F1020" s="1">
        <v>19704.093150736488</v>
      </c>
      <c r="G1020" s="1">
        <v>521.0</v>
      </c>
      <c r="H1020" s="1">
        <v>42.87</v>
      </c>
      <c r="I1020" s="1">
        <v>37.82</v>
      </c>
      <c r="J1020" s="1">
        <v>5.05</v>
      </c>
      <c r="K1020" s="1">
        <v>11.78</v>
      </c>
      <c r="L1020" s="1">
        <f t="shared" si="1"/>
        <v>2630.11938</v>
      </c>
      <c r="M1020" s="1" t="str">
        <f t="shared" si="2"/>
        <v>Regular</v>
      </c>
      <c r="N1020" s="1">
        <f t="shared" si="3"/>
        <v>42.86797031</v>
      </c>
      <c r="O1020" s="1">
        <f t="shared" si="4"/>
        <v>39.4445956</v>
      </c>
      <c r="P1020" s="4">
        <f t="shared" si="5"/>
        <v>0.07982885636</v>
      </c>
    </row>
    <row r="1021" ht="15.75" customHeight="1">
      <c r="A1021" s="3">
        <v>42657.0</v>
      </c>
      <c r="B1021" s="1">
        <v>2016.0</v>
      </c>
      <c r="C1021" s="1">
        <v>10.0</v>
      </c>
      <c r="D1021" s="1" t="s">
        <v>26</v>
      </c>
      <c r="E1021" s="1">
        <v>69440.92879519025</v>
      </c>
      <c r="F1021" s="1">
        <v>62070.75118430003</v>
      </c>
      <c r="G1021" s="1">
        <v>1618.0</v>
      </c>
      <c r="H1021" s="1">
        <v>42.92</v>
      </c>
      <c r="I1021" s="1">
        <v>38.36</v>
      </c>
      <c r="J1021" s="1">
        <v>4.56</v>
      </c>
      <c r="K1021" s="1">
        <v>10.61</v>
      </c>
      <c r="L1021" s="1">
        <f t="shared" si="1"/>
        <v>7370.177611</v>
      </c>
      <c r="M1021" s="1" t="str">
        <f t="shared" si="2"/>
        <v>Regular</v>
      </c>
      <c r="N1021" s="1">
        <f t="shared" si="3"/>
        <v>42.91775574</v>
      </c>
      <c r="O1021" s="1">
        <f t="shared" si="4"/>
        <v>39.45632932</v>
      </c>
      <c r="P1021" s="4">
        <f t="shared" si="5"/>
        <v>0.07955491518</v>
      </c>
    </row>
    <row r="1022" ht="15.75" customHeight="1">
      <c r="A1022" s="3">
        <v>42658.0</v>
      </c>
      <c r="B1022" s="1">
        <v>2016.0</v>
      </c>
      <c r="C1022" s="1">
        <v>10.0</v>
      </c>
      <c r="D1022" s="1" t="s">
        <v>26</v>
      </c>
      <c r="E1022" s="1">
        <v>92159.02979147158</v>
      </c>
      <c r="F1022" s="1">
        <v>83371.81702135009</v>
      </c>
      <c r="G1022" s="1">
        <v>2147.0</v>
      </c>
      <c r="H1022" s="1">
        <v>42.92</v>
      </c>
      <c r="I1022" s="1">
        <v>38.83</v>
      </c>
      <c r="J1022" s="1">
        <v>4.09</v>
      </c>
      <c r="K1022" s="1">
        <v>9.53</v>
      </c>
      <c r="L1022" s="1">
        <f t="shared" si="1"/>
        <v>8787.21277</v>
      </c>
      <c r="M1022" s="1" t="str">
        <f t="shared" si="2"/>
        <v>Regular</v>
      </c>
      <c r="N1022" s="1">
        <f t="shared" si="3"/>
        <v>42.92455975</v>
      </c>
      <c r="O1022" s="1">
        <f t="shared" si="4"/>
        <v>39.48141992</v>
      </c>
      <c r="P1022" s="4">
        <f t="shared" si="5"/>
        <v>0.07894436885</v>
      </c>
    </row>
    <row r="1023" ht="15.75" customHeight="1">
      <c r="A1023" s="3">
        <v>42659.0</v>
      </c>
      <c r="B1023" s="1">
        <v>2016.0</v>
      </c>
      <c r="C1023" s="1">
        <v>10.0</v>
      </c>
      <c r="D1023" s="1" t="s">
        <v>26</v>
      </c>
      <c r="E1023" s="1">
        <v>57296.28785375024</v>
      </c>
      <c r="F1023" s="1">
        <v>52701.29461381235</v>
      </c>
      <c r="G1023" s="1">
        <v>1335.0</v>
      </c>
      <c r="H1023" s="1">
        <v>42.92</v>
      </c>
      <c r="I1023" s="1">
        <v>39.48</v>
      </c>
      <c r="J1023" s="1">
        <v>3.44</v>
      </c>
      <c r="K1023" s="1">
        <v>8.02</v>
      </c>
      <c r="L1023" s="1">
        <f t="shared" si="1"/>
        <v>4594.99324</v>
      </c>
      <c r="M1023" s="1" t="str">
        <f t="shared" si="2"/>
        <v>Regular</v>
      </c>
      <c r="N1023" s="1">
        <f t="shared" si="3"/>
        <v>42.91856768</v>
      </c>
      <c r="O1023" s="1">
        <f t="shared" si="4"/>
        <v>39.50181727</v>
      </c>
      <c r="P1023" s="4">
        <f t="shared" si="5"/>
        <v>0.07842858943</v>
      </c>
    </row>
    <row r="1024" ht="15.75" customHeight="1">
      <c r="A1024" s="3">
        <v>42660.0</v>
      </c>
      <c r="B1024" s="1">
        <v>2016.0</v>
      </c>
      <c r="C1024" s="1">
        <v>10.0</v>
      </c>
      <c r="D1024" s="1" t="s">
        <v>26</v>
      </c>
      <c r="E1024" s="1">
        <v>57184.94126883025</v>
      </c>
      <c r="F1024" s="1">
        <v>51764.93737177276</v>
      </c>
      <c r="G1024" s="1">
        <v>1332.0</v>
      </c>
      <c r="H1024" s="1">
        <v>42.93</v>
      </c>
      <c r="I1024" s="1">
        <v>38.86</v>
      </c>
      <c r="J1024" s="1">
        <v>4.07</v>
      </c>
      <c r="K1024" s="1">
        <v>9.48</v>
      </c>
      <c r="L1024" s="1">
        <f t="shared" si="1"/>
        <v>5420.003897</v>
      </c>
      <c r="M1024" s="1" t="str">
        <f t="shared" si="2"/>
        <v>Regular</v>
      </c>
      <c r="N1024" s="1">
        <f t="shared" si="3"/>
        <v>42.93163759</v>
      </c>
      <c r="O1024" s="1">
        <f t="shared" si="4"/>
        <v>39.50231889</v>
      </c>
      <c r="P1024" s="4">
        <f t="shared" si="5"/>
        <v>0.07839333028</v>
      </c>
    </row>
    <row r="1025" ht="15.75" customHeight="1">
      <c r="A1025" s="3">
        <v>42661.0</v>
      </c>
      <c r="B1025" s="1">
        <v>2016.0</v>
      </c>
      <c r="C1025" s="1">
        <v>10.0</v>
      </c>
      <c r="D1025" s="1" t="s">
        <v>26</v>
      </c>
      <c r="E1025" s="1">
        <v>40951.10427692964</v>
      </c>
      <c r="F1025" s="1">
        <v>37288.62454527868</v>
      </c>
      <c r="G1025" s="1">
        <v>954.0</v>
      </c>
      <c r="H1025" s="1">
        <v>42.93</v>
      </c>
      <c r="I1025" s="1">
        <v>39.09</v>
      </c>
      <c r="J1025" s="1">
        <v>3.84</v>
      </c>
      <c r="K1025" s="1">
        <v>8.94</v>
      </c>
      <c r="L1025" s="1">
        <f t="shared" si="1"/>
        <v>3662.479732</v>
      </c>
      <c r="M1025" s="1" t="str">
        <f t="shared" si="2"/>
        <v>Regular</v>
      </c>
      <c r="N1025" s="1">
        <f t="shared" si="3"/>
        <v>42.92568582</v>
      </c>
      <c r="O1025" s="1">
        <f t="shared" si="4"/>
        <v>39.51528647</v>
      </c>
      <c r="P1025" s="4">
        <f t="shared" si="5"/>
        <v>0.07806062573</v>
      </c>
    </row>
    <row r="1026" ht="15.75" customHeight="1">
      <c r="A1026" s="3">
        <v>42662.0</v>
      </c>
      <c r="B1026" s="1">
        <v>2016.0</v>
      </c>
      <c r="C1026" s="1">
        <v>10.0</v>
      </c>
      <c r="D1026" s="1" t="s">
        <v>26</v>
      </c>
      <c r="E1026" s="1">
        <v>37672.447294289756</v>
      </c>
      <c r="F1026" s="1">
        <v>33678.45927128807</v>
      </c>
      <c r="G1026" s="1">
        <v>877.0</v>
      </c>
      <c r="H1026" s="1">
        <v>42.96</v>
      </c>
      <c r="I1026" s="1">
        <v>38.4</v>
      </c>
      <c r="J1026" s="1">
        <v>4.55</v>
      </c>
      <c r="K1026" s="1">
        <v>10.6</v>
      </c>
      <c r="L1026" s="1">
        <f t="shared" si="1"/>
        <v>3993.988023</v>
      </c>
      <c r="M1026" s="1" t="str">
        <f t="shared" si="2"/>
        <v>Regular</v>
      </c>
      <c r="N1026" s="1">
        <f t="shared" si="3"/>
        <v>42.95604024</v>
      </c>
      <c r="O1026" s="1">
        <f t="shared" si="4"/>
        <v>39.52160146</v>
      </c>
      <c r="P1026" s="4">
        <f t="shared" si="5"/>
        <v>0.07789280342</v>
      </c>
    </row>
    <row r="1027" ht="15.75" customHeight="1">
      <c r="A1027" s="3">
        <v>42663.0</v>
      </c>
      <c r="B1027" s="1">
        <v>2016.0</v>
      </c>
      <c r="C1027" s="1">
        <v>10.0</v>
      </c>
      <c r="D1027" s="1" t="s">
        <v>26</v>
      </c>
      <c r="E1027" s="1">
        <v>38648.137519559634</v>
      </c>
      <c r="F1027" s="1">
        <v>35038.06869162933</v>
      </c>
      <c r="G1027" s="1">
        <v>906.0</v>
      </c>
      <c r="H1027" s="1">
        <v>42.66</v>
      </c>
      <c r="I1027" s="1">
        <v>38.67</v>
      </c>
      <c r="J1027" s="1">
        <v>3.98</v>
      </c>
      <c r="K1027" s="1">
        <v>9.34</v>
      </c>
      <c r="L1027" s="1">
        <f t="shared" si="1"/>
        <v>3610.068828</v>
      </c>
      <c r="M1027" s="1" t="str">
        <f t="shared" si="2"/>
        <v>Regular</v>
      </c>
      <c r="N1027" s="1">
        <f t="shared" si="3"/>
        <v>42.65798843</v>
      </c>
      <c r="O1027" s="1">
        <f t="shared" si="4"/>
        <v>39.53697308</v>
      </c>
      <c r="P1027" s="4">
        <f t="shared" si="5"/>
        <v>0.07750580711</v>
      </c>
    </row>
    <row r="1028" ht="15.75" customHeight="1">
      <c r="A1028" s="3">
        <v>42664.0</v>
      </c>
      <c r="B1028" s="1">
        <v>2016.0</v>
      </c>
      <c r="C1028" s="1">
        <v>10.0</v>
      </c>
      <c r="D1028" s="1" t="s">
        <v>26</v>
      </c>
      <c r="E1028" s="1">
        <v>96020.54537409684</v>
      </c>
      <c r="F1028" s="1">
        <v>86810.2775334347</v>
      </c>
      <c r="G1028" s="1">
        <v>2249.0</v>
      </c>
      <c r="H1028" s="1">
        <v>42.69</v>
      </c>
      <c r="I1028" s="1">
        <v>38.6</v>
      </c>
      <c r="J1028" s="1">
        <v>4.1</v>
      </c>
      <c r="K1028" s="1">
        <v>9.59</v>
      </c>
      <c r="L1028" s="1">
        <f t="shared" si="1"/>
        <v>9210.267841</v>
      </c>
      <c r="M1028" s="1" t="str">
        <f t="shared" si="2"/>
        <v>Regular</v>
      </c>
      <c r="N1028" s="1">
        <f t="shared" si="3"/>
        <v>42.6947734</v>
      </c>
      <c r="O1028" s="1">
        <f t="shared" si="4"/>
        <v>39.54939712</v>
      </c>
      <c r="P1028" s="4">
        <f t="shared" si="5"/>
        <v>0.07727811329</v>
      </c>
    </row>
    <row r="1029" ht="15.75" customHeight="1">
      <c r="A1029" s="3">
        <v>42665.0</v>
      </c>
      <c r="B1029" s="1">
        <v>2016.0</v>
      </c>
      <c r="C1029" s="1">
        <v>10.0</v>
      </c>
      <c r="D1029" s="1" t="s">
        <v>26</v>
      </c>
      <c r="E1029" s="1">
        <v>105662.59415837255</v>
      </c>
      <c r="F1029" s="1">
        <v>95930.01651468943</v>
      </c>
      <c r="G1029" s="1">
        <v>2472.0</v>
      </c>
      <c r="H1029" s="1">
        <v>42.74</v>
      </c>
      <c r="I1029" s="1">
        <v>38.81</v>
      </c>
      <c r="J1029" s="1">
        <v>3.94</v>
      </c>
      <c r="K1029" s="1">
        <v>9.21</v>
      </c>
      <c r="L1029" s="1">
        <f t="shared" si="1"/>
        <v>9732.577644</v>
      </c>
      <c r="M1029" s="1" t="str">
        <f t="shared" si="2"/>
        <v>Regular</v>
      </c>
      <c r="N1029" s="1">
        <f t="shared" si="3"/>
        <v>42.74376786</v>
      </c>
      <c r="O1029" s="1">
        <f t="shared" si="4"/>
        <v>39.58457556</v>
      </c>
      <c r="P1029" s="4">
        <f t="shared" si="5"/>
        <v>0.076590526</v>
      </c>
    </row>
    <row r="1030" ht="15.75" customHeight="1">
      <c r="A1030" s="3">
        <v>42666.0</v>
      </c>
      <c r="B1030" s="1">
        <v>2016.0</v>
      </c>
      <c r="C1030" s="1">
        <v>10.0</v>
      </c>
      <c r="D1030" s="1" t="s">
        <v>26</v>
      </c>
      <c r="E1030" s="1">
        <v>54738.48351683513</v>
      </c>
      <c r="F1030" s="1">
        <v>49990.51928931798</v>
      </c>
      <c r="G1030" s="1">
        <v>1280.0</v>
      </c>
      <c r="H1030" s="1">
        <v>42.76</v>
      </c>
      <c r="I1030" s="1">
        <v>39.06</v>
      </c>
      <c r="J1030" s="1">
        <v>3.71</v>
      </c>
      <c r="K1030" s="1">
        <v>8.67</v>
      </c>
      <c r="L1030" s="1">
        <f t="shared" si="1"/>
        <v>4747.964228</v>
      </c>
      <c r="M1030" s="1" t="str">
        <f t="shared" si="2"/>
        <v>Regular</v>
      </c>
      <c r="N1030" s="1">
        <f t="shared" si="3"/>
        <v>42.76444025</v>
      </c>
      <c r="O1030" s="1">
        <f t="shared" si="4"/>
        <v>39.61758597</v>
      </c>
      <c r="P1030" s="4">
        <f t="shared" si="5"/>
        <v>0.07593397032</v>
      </c>
    </row>
    <row r="1031" ht="15.75" customHeight="1">
      <c r="A1031" s="3">
        <v>42667.0</v>
      </c>
      <c r="B1031" s="1">
        <v>2016.0</v>
      </c>
      <c r="C1031" s="1">
        <v>10.0</v>
      </c>
      <c r="D1031" s="1" t="s">
        <v>26</v>
      </c>
      <c r="E1031" s="1">
        <v>40131.573511264636</v>
      </c>
      <c r="F1031" s="1">
        <v>36347.698715160215</v>
      </c>
      <c r="G1031" s="1">
        <v>940.0</v>
      </c>
      <c r="H1031" s="1">
        <v>42.69</v>
      </c>
      <c r="I1031" s="1">
        <v>38.67</v>
      </c>
      <c r="J1031" s="1">
        <v>4.03</v>
      </c>
      <c r="K1031" s="1">
        <v>9.43</v>
      </c>
      <c r="L1031" s="1">
        <f t="shared" si="1"/>
        <v>3783.874796</v>
      </c>
      <c r="M1031" s="1" t="str">
        <f t="shared" si="2"/>
        <v>Regular</v>
      </c>
      <c r="N1031" s="1">
        <f t="shared" si="3"/>
        <v>42.69316331</v>
      </c>
      <c r="O1031" s="1">
        <f t="shared" si="4"/>
        <v>39.63022271</v>
      </c>
      <c r="P1031" s="4">
        <f t="shared" si="5"/>
        <v>0.07569185672</v>
      </c>
    </row>
    <row r="1032" ht="15.75" customHeight="1">
      <c r="A1032" s="3">
        <v>42668.0</v>
      </c>
      <c r="B1032" s="1">
        <v>2016.0</v>
      </c>
      <c r="C1032" s="1">
        <v>10.0</v>
      </c>
      <c r="D1032" s="1" t="s">
        <v>26</v>
      </c>
      <c r="E1032" s="1">
        <v>70402.99192642537</v>
      </c>
      <c r="F1032" s="1">
        <v>63452.76103781372</v>
      </c>
      <c r="G1032" s="1">
        <v>1650.0</v>
      </c>
      <c r="H1032" s="1">
        <v>42.67</v>
      </c>
      <c r="I1032" s="1">
        <v>38.46</v>
      </c>
      <c r="J1032" s="1">
        <v>4.21</v>
      </c>
      <c r="K1032" s="1">
        <v>9.87</v>
      </c>
      <c r="L1032" s="1">
        <f t="shared" si="1"/>
        <v>6950.230889</v>
      </c>
      <c r="M1032" s="1" t="str">
        <f t="shared" si="2"/>
        <v>Regular</v>
      </c>
      <c r="N1032" s="1">
        <f t="shared" si="3"/>
        <v>42.66847996</v>
      </c>
      <c r="O1032" s="1">
        <f t="shared" si="4"/>
        <v>39.64636788</v>
      </c>
      <c r="P1032" s="4">
        <f t="shared" si="5"/>
        <v>0.07538127812</v>
      </c>
    </row>
    <row r="1033" ht="15.75" customHeight="1">
      <c r="A1033" s="3">
        <v>42669.0</v>
      </c>
      <c r="B1033" s="1">
        <v>2016.0</v>
      </c>
      <c r="C1033" s="1">
        <v>10.0</v>
      </c>
      <c r="D1033" s="1" t="s">
        <v>26</v>
      </c>
      <c r="E1033" s="1">
        <v>62501.74069876025</v>
      </c>
      <c r="F1033" s="1">
        <v>56100.874288607934</v>
      </c>
      <c r="G1033" s="1">
        <v>1467.0</v>
      </c>
      <c r="H1033" s="1">
        <v>42.61</v>
      </c>
      <c r="I1033" s="1">
        <v>38.24</v>
      </c>
      <c r="J1033" s="1">
        <v>4.36</v>
      </c>
      <c r="K1033" s="1">
        <v>10.24</v>
      </c>
      <c r="L1033" s="1">
        <f t="shared" si="1"/>
        <v>6400.86641</v>
      </c>
      <c r="M1033" s="1" t="str">
        <f t="shared" si="2"/>
        <v>Regular</v>
      </c>
      <c r="N1033" s="1">
        <f t="shared" si="3"/>
        <v>42.60514022</v>
      </c>
      <c r="O1033" s="1">
        <f t="shared" si="4"/>
        <v>39.68247544</v>
      </c>
      <c r="P1033" s="4">
        <f t="shared" si="5"/>
        <v>0.07467676621</v>
      </c>
    </row>
    <row r="1034" ht="15.75" customHeight="1">
      <c r="A1034" s="3">
        <v>42670.0</v>
      </c>
      <c r="B1034" s="1">
        <v>2016.0</v>
      </c>
      <c r="C1034" s="1">
        <v>10.0</v>
      </c>
      <c r="D1034" s="1" t="s">
        <v>26</v>
      </c>
      <c r="E1034" s="1">
        <v>53675.2182803</v>
      </c>
      <c r="F1034" s="1">
        <v>48201.94097574902</v>
      </c>
      <c r="G1034" s="1">
        <v>1257.0</v>
      </c>
      <c r="H1034" s="1">
        <v>42.7</v>
      </c>
      <c r="I1034" s="1">
        <v>38.35</v>
      </c>
      <c r="J1034" s="1">
        <v>4.35</v>
      </c>
      <c r="K1034" s="1">
        <v>10.2</v>
      </c>
      <c r="L1034" s="1">
        <f t="shared" si="1"/>
        <v>5473.277305</v>
      </c>
      <c r="M1034" s="1" t="str">
        <f t="shared" si="2"/>
        <v>Regular</v>
      </c>
      <c r="N1034" s="1">
        <f t="shared" si="3"/>
        <v>42.70104875</v>
      </c>
      <c r="O1034" s="1">
        <f t="shared" si="4"/>
        <v>39.72241038</v>
      </c>
      <c r="P1034" s="4">
        <f t="shared" si="5"/>
        <v>0.07391308347</v>
      </c>
    </row>
    <row r="1035" ht="15.75" customHeight="1">
      <c r="A1035" s="3">
        <v>42671.0</v>
      </c>
      <c r="B1035" s="1">
        <v>2016.0</v>
      </c>
      <c r="C1035" s="1">
        <v>10.0</v>
      </c>
      <c r="D1035" s="1" t="s">
        <v>26</v>
      </c>
      <c r="E1035" s="1">
        <v>102606.32698194706</v>
      </c>
      <c r="F1035" s="1">
        <v>92657.69952509602</v>
      </c>
      <c r="G1035" s="1">
        <v>2405.0</v>
      </c>
      <c r="H1035" s="1">
        <v>42.66</v>
      </c>
      <c r="I1035" s="1">
        <v>38.53</v>
      </c>
      <c r="J1035" s="1">
        <v>4.14</v>
      </c>
      <c r="K1035" s="1">
        <v>9.7</v>
      </c>
      <c r="L1035" s="1">
        <f t="shared" si="1"/>
        <v>9948.627457</v>
      </c>
      <c r="M1035" s="1" t="str">
        <f t="shared" si="2"/>
        <v>Regular</v>
      </c>
      <c r="N1035" s="1">
        <f t="shared" si="3"/>
        <v>42.66375342</v>
      </c>
      <c r="O1035" s="1">
        <f t="shared" si="4"/>
        <v>39.75588042</v>
      </c>
      <c r="P1035" s="4">
        <f t="shared" si="5"/>
        <v>0.07323354213</v>
      </c>
    </row>
    <row r="1036" ht="15.75" customHeight="1">
      <c r="A1036" s="3">
        <v>42672.0</v>
      </c>
      <c r="B1036" s="1">
        <v>2016.0</v>
      </c>
      <c r="C1036" s="1">
        <v>10.0</v>
      </c>
      <c r="D1036" s="1" t="s">
        <v>26</v>
      </c>
      <c r="E1036" s="1">
        <v>124988.15546718866</v>
      </c>
      <c r="F1036" s="1">
        <v>113187.84602297534</v>
      </c>
      <c r="G1036" s="1">
        <v>2929.0</v>
      </c>
      <c r="H1036" s="1">
        <v>42.67</v>
      </c>
      <c r="I1036" s="1">
        <v>38.64</v>
      </c>
      <c r="J1036" s="1">
        <v>4.03</v>
      </c>
      <c r="K1036" s="1">
        <v>9.44</v>
      </c>
      <c r="L1036" s="1">
        <f t="shared" si="1"/>
        <v>11800.30944</v>
      </c>
      <c r="M1036" s="1" t="str">
        <f t="shared" si="2"/>
        <v>Regular</v>
      </c>
      <c r="N1036" s="1">
        <f t="shared" si="3"/>
        <v>42.67263758</v>
      </c>
      <c r="O1036" s="1">
        <f t="shared" si="4"/>
        <v>39.81587581</v>
      </c>
      <c r="P1036" s="4">
        <f t="shared" si="5"/>
        <v>0.07208173991</v>
      </c>
    </row>
    <row r="1037" ht="15.75" customHeight="1">
      <c r="A1037" s="3">
        <v>42673.0</v>
      </c>
      <c r="B1037" s="1">
        <v>2016.0</v>
      </c>
      <c r="C1037" s="1">
        <v>10.0</v>
      </c>
      <c r="D1037" s="1" t="s">
        <v>26</v>
      </c>
      <c r="E1037" s="1">
        <v>67521.03748892537</v>
      </c>
      <c r="F1037" s="1">
        <v>61233.71887418509</v>
      </c>
      <c r="G1037" s="1">
        <v>1582.0</v>
      </c>
      <c r="H1037" s="1">
        <v>42.68</v>
      </c>
      <c r="I1037" s="1">
        <v>38.71</v>
      </c>
      <c r="J1037" s="1">
        <v>3.97</v>
      </c>
      <c r="K1037" s="1">
        <v>9.31</v>
      </c>
      <c r="L1037" s="1">
        <f t="shared" si="1"/>
        <v>6287.318615</v>
      </c>
      <c r="M1037" s="1" t="str">
        <f t="shared" si="2"/>
        <v>Regular</v>
      </c>
      <c r="N1037" s="1">
        <f t="shared" si="3"/>
        <v>42.68080752</v>
      </c>
      <c r="O1037" s="1">
        <f t="shared" si="4"/>
        <v>39.88997471</v>
      </c>
      <c r="P1037" s="4">
        <f t="shared" si="5"/>
        <v>0.07067824714</v>
      </c>
    </row>
    <row r="1038" ht="15.75" customHeight="1">
      <c r="A1038" s="3">
        <v>42674.0</v>
      </c>
      <c r="B1038" s="1">
        <v>2016.0</v>
      </c>
      <c r="C1038" s="1">
        <v>10.0</v>
      </c>
      <c r="D1038" s="1" t="s">
        <v>26</v>
      </c>
      <c r="E1038" s="1">
        <v>70020.59600984037</v>
      </c>
      <c r="F1038" s="1">
        <v>62316.15133820178</v>
      </c>
      <c r="G1038" s="1">
        <v>1639.0</v>
      </c>
      <c r="H1038" s="1">
        <v>42.72</v>
      </c>
      <c r="I1038" s="1">
        <v>38.02</v>
      </c>
      <c r="J1038" s="1">
        <v>4.7</v>
      </c>
      <c r="K1038" s="1">
        <v>11.0</v>
      </c>
      <c r="L1038" s="1">
        <f t="shared" si="1"/>
        <v>7704.444672</v>
      </c>
      <c r="M1038" s="1" t="str">
        <f t="shared" si="2"/>
        <v>Regular</v>
      </c>
      <c r="N1038" s="1">
        <f t="shared" si="3"/>
        <v>42.72153509</v>
      </c>
      <c r="O1038" s="1">
        <f t="shared" si="4"/>
        <v>39.9318158</v>
      </c>
      <c r="P1038" s="4">
        <f t="shared" si="5"/>
        <v>0.06988959006</v>
      </c>
    </row>
    <row r="1039" ht="15.75" customHeight="1">
      <c r="A1039" s="3">
        <v>42675.0</v>
      </c>
      <c r="B1039" s="1">
        <v>2016.0</v>
      </c>
      <c r="C1039" s="1">
        <v>11.0</v>
      </c>
      <c r="D1039" s="1" t="s">
        <v>27</v>
      </c>
      <c r="E1039" s="1">
        <v>126954.17017899743</v>
      </c>
      <c r="F1039" s="1">
        <v>110698.74289754208</v>
      </c>
      <c r="G1039" s="1">
        <v>2971.0</v>
      </c>
      <c r="H1039" s="1">
        <v>42.73</v>
      </c>
      <c r="I1039" s="1">
        <v>37.26</v>
      </c>
      <c r="J1039" s="1">
        <v>5.47</v>
      </c>
      <c r="K1039" s="1">
        <v>12.8</v>
      </c>
      <c r="L1039" s="1">
        <f t="shared" si="1"/>
        <v>16255.42728</v>
      </c>
      <c r="M1039" s="1" t="str">
        <f t="shared" si="2"/>
        <v>Regular</v>
      </c>
      <c r="N1039" s="1">
        <f t="shared" si="3"/>
        <v>42.73112426</v>
      </c>
      <c r="O1039" s="1">
        <f t="shared" si="4"/>
        <v>40.00447441</v>
      </c>
      <c r="P1039" s="4">
        <f t="shared" si="5"/>
        <v>0.06837111973</v>
      </c>
    </row>
    <row r="1040" ht="15.75" customHeight="1">
      <c r="A1040" s="3">
        <v>42676.0</v>
      </c>
      <c r="B1040" s="1">
        <v>2016.0</v>
      </c>
      <c r="C1040" s="1">
        <v>11.0</v>
      </c>
      <c r="D1040" s="1" t="s">
        <v>27</v>
      </c>
      <c r="E1040" s="1">
        <v>97558.24705104147</v>
      </c>
      <c r="F1040" s="1">
        <v>86203.87520371946</v>
      </c>
      <c r="G1040" s="1">
        <v>2284.0</v>
      </c>
      <c r="H1040" s="1">
        <v>42.71</v>
      </c>
      <c r="I1040" s="1">
        <v>37.74</v>
      </c>
      <c r="J1040" s="1">
        <v>4.97</v>
      </c>
      <c r="K1040" s="1">
        <v>11.64</v>
      </c>
      <c r="L1040" s="1">
        <f t="shared" si="1"/>
        <v>11354.37185</v>
      </c>
      <c r="M1040" s="1" t="str">
        <f t="shared" si="2"/>
        <v>Regular</v>
      </c>
      <c r="N1040" s="1">
        <f t="shared" si="3"/>
        <v>42.71376841</v>
      </c>
      <c r="O1040" s="1">
        <f t="shared" si="4"/>
        <v>40.20764738</v>
      </c>
      <c r="P1040" s="4">
        <f t="shared" si="5"/>
        <v>0.06397721258</v>
      </c>
    </row>
    <row r="1041" ht="15.75" customHeight="1">
      <c r="A1041" s="3">
        <v>42677.0</v>
      </c>
      <c r="B1041" s="1">
        <v>2016.0</v>
      </c>
      <c r="C1041" s="1">
        <v>11.0</v>
      </c>
      <c r="D1041" s="1" t="s">
        <v>27</v>
      </c>
      <c r="E1041" s="1">
        <v>97039.00987049159</v>
      </c>
      <c r="F1041" s="1">
        <v>89413.41596601909</v>
      </c>
      <c r="G1041" s="1">
        <v>2266.0</v>
      </c>
      <c r="H1041" s="1">
        <v>42.82</v>
      </c>
      <c r="I1041" s="1">
        <v>39.46</v>
      </c>
      <c r="J1041" s="1">
        <v>3.37</v>
      </c>
      <c r="K1041" s="1">
        <v>7.86</v>
      </c>
      <c r="L1041" s="1">
        <f t="shared" si="1"/>
        <v>7625.593904</v>
      </c>
      <c r="M1041" s="1" t="str">
        <f t="shared" si="2"/>
        <v>Regular</v>
      </c>
      <c r="N1041" s="1">
        <f t="shared" si="3"/>
        <v>42.82392316</v>
      </c>
      <c r="O1041" s="1">
        <f t="shared" si="4"/>
        <v>40.35639491</v>
      </c>
      <c r="P1041" s="4">
        <f t="shared" si="5"/>
        <v>0.06083376819</v>
      </c>
    </row>
    <row r="1042" ht="15.75" customHeight="1">
      <c r="A1042" s="3">
        <v>42678.0</v>
      </c>
      <c r="B1042" s="1">
        <v>2016.0</v>
      </c>
      <c r="C1042" s="1">
        <v>11.0</v>
      </c>
      <c r="D1042" s="1" t="s">
        <v>27</v>
      </c>
      <c r="E1042" s="1">
        <v>168349.2653229361</v>
      </c>
      <c r="F1042" s="1">
        <v>156675.59012440423</v>
      </c>
      <c r="G1042" s="1">
        <v>3938.0</v>
      </c>
      <c r="H1042" s="1">
        <v>42.75</v>
      </c>
      <c r="I1042" s="1">
        <v>39.79</v>
      </c>
      <c r="J1042" s="1">
        <v>2.96</v>
      </c>
      <c r="K1042" s="1">
        <v>6.93</v>
      </c>
      <c r="L1042" s="1">
        <f t="shared" si="1"/>
        <v>11673.6752</v>
      </c>
      <c r="M1042" s="1" t="str">
        <f t="shared" si="2"/>
        <v>Regular</v>
      </c>
      <c r="N1042" s="1">
        <f t="shared" si="3"/>
        <v>42.74994041</v>
      </c>
      <c r="O1042" s="1">
        <f t="shared" si="4"/>
        <v>40.41355714</v>
      </c>
      <c r="P1042" s="4">
        <f t="shared" si="5"/>
        <v>0.05970766845</v>
      </c>
    </row>
    <row r="1043" ht="15.75" customHeight="1">
      <c r="A1043" s="3">
        <v>42679.0</v>
      </c>
      <c r="B1043" s="1">
        <v>2016.0</v>
      </c>
      <c r="C1043" s="1">
        <v>11.0</v>
      </c>
      <c r="D1043" s="1" t="s">
        <v>27</v>
      </c>
      <c r="E1043" s="1">
        <v>202017.4219781323</v>
      </c>
      <c r="F1043" s="1">
        <v>189394.69373774898</v>
      </c>
      <c r="G1043" s="1">
        <v>4720.0</v>
      </c>
      <c r="H1043" s="1">
        <v>42.8</v>
      </c>
      <c r="I1043" s="1">
        <v>40.13</v>
      </c>
      <c r="J1043" s="1">
        <v>2.67</v>
      </c>
      <c r="K1043" s="1">
        <v>6.25</v>
      </c>
      <c r="L1043" s="1">
        <f t="shared" si="1"/>
        <v>12622.72824</v>
      </c>
      <c r="M1043" s="1" t="str">
        <f t="shared" si="2"/>
        <v>Regular</v>
      </c>
      <c r="N1043" s="1">
        <f t="shared" si="3"/>
        <v>42.80030127</v>
      </c>
      <c r="O1043" s="1">
        <f t="shared" si="4"/>
        <v>40.49169787</v>
      </c>
      <c r="P1043" s="4">
        <f t="shared" si="5"/>
        <v>0.05851605996</v>
      </c>
    </row>
    <row r="1044" ht="15.75" customHeight="1">
      <c r="A1044" s="3">
        <v>42680.0</v>
      </c>
      <c r="B1044" s="1">
        <v>2016.0</v>
      </c>
      <c r="C1044" s="1">
        <v>11.0</v>
      </c>
      <c r="D1044" s="1" t="s">
        <v>27</v>
      </c>
      <c r="E1044" s="1">
        <v>108459.00005362219</v>
      </c>
      <c r="F1044" s="1">
        <v>102250.16777596818</v>
      </c>
      <c r="G1044" s="1">
        <v>2537.0</v>
      </c>
      <c r="H1044" s="1">
        <v>42.75</v>
      </c>
      <c r="I1044" s="1">
        <v>40.3</v>
      </c>
      <c r="J1044" s="1">
        <v>2.45</v>
      </c>
      <c r="K1044" s="1">
        <v>5.72</v>
      </c>
      <c r="L1044" s="1">
        <f t="shared" si="1"/>
        <v>6208.832278</v>
      </c>
      <c r="M1044" s="1" t="str">
        <f t="shared" si="2"/>
        <v>Regular</v>
      </c>
      <c r="N1044" s="1">
        <f t="shared" si="3"/>
        <v>42.7508869</v>
      </c>
      <c r="O1044" s="1">
        <f t="shared" si="4"/>
        <v>40.55579918</v>
      </c>
      <c r="P1044" s="4">
        <f t="shared" si="5"/>
        <v>0.05782461268</v>
      </c>
    </row>
    <row r="1045" ht="15.75" customHeight="1">
      <c r="A1045" s="3">
        <v>42681.0</v>
      </c>
      <c r="B1045" s="1">
        <v>2016.0</v>
      </c>
      <c r="C1045" s="1">
        <v>11.0</v>
      </c>
      <c r="D1045" s="1" t="s">
        <v>27</v>
      </c>
      <c r="E1045" s="1">
        <v>112536.37705725255</v>
      </c>
      <c r="F1045" s="1">
        <v>105978.48247831277</v>
      </c>
      <c r="G1045" s="1">
        <v>2621.0</v>
      </c>
      <c r="H1045" s="1">
        <v>42.94</v>
      </c>
      <c r="I1045" s="1">
        <v>40.43</v>
      </c>
      <c r="J1045" s="1">
        <v>2.5</v>
      </c>
      <c r="K1045" s="1">
        <v>5.83</v>
      </c>
      <c r="L1045" s="1">
        <f t="shared" si="1"/>
        <v>6557.894579</v>
      </c>
      <c r="M1045" s="1" t="str">
        <f t="shared" si="2"/>
        <v>Regular</v>
      </c>
      <c r="N1045" s="1">
        <f t="shared" si="3"/>
        <v>42.93642772</v>
      </c>
      <c r="O1045" s="1">
        <f t="shared" si="4"/>
        <v>40.58203405</v>
      </c>
      <c r="P1045" s="4">
        <f t="shared" si="5"/>
        <v>0.05788435401</v>
      </c>
    </row>
    <row r="1046" ht="15.75" customHeight="1">
      <c r="A1046" s="3">
        <v>42682.0</v>
      </c>
      <c r="B1046" s="1">
        <v>2016.0</v>
      </c>
      <c r="C1046" s="1">
        <v>11.0</v>
      </c>
      <c r="D1046" s="1" t="s">
        <v>27</v>
      </c>
      <c r="E1046" s="1">
        <v>100479.92998887182</v>
      </c>
      <c r="F1046" s="1">
        <v>94692.47928942801</v>
      </c>
      <c r="G1046" s="1">
        <v>2341.0</v>
      </c>
      <c r="H1046" s="1">
        <v>42.92</v>
      </c>
      <c r="I1046" s="1">
        <v>40.45</v>
      </c>
      <c r="J1046" s="1">
        <v>2.47</v>
      </c>
      <c r="K1046" s="1">
        <v>5.76</v>
      </c>
      <c r="L1046" s="1">
        <f t="shared" si="1"/>
        <v>5787.450699</v>
      </c>
      <c r="M1046" s="1" t="str">
        <f t="shared" si="2"/>
        <v>Regular</v>
      </c>
      <c r="N1046" s="1">
        <f t="shared" si="3"/>
        <v>42.92179837</v>
      </c>
      <c r="O1046" s="1">
        <f t="shared" si="4"/>
        <v>40.59981213</v>
      </c>
      <c r="P1046" s="4">
        <f t="shared" si="5"/>
        <v>0.05783766568</v>
      </c>
    </row>
    <row r="1047" ht="15.75" customHeight="1">
      <c r="A1047" s="3">
        <v>42683.0</v>
      </c>
      <c r="B1047" s="1">
        <v>2016.0</v>
      </c>
      <c r="C1047" s="1">
        <v>11.0</v>
      </c>
      <c r="D1047" s="1" t="s">
        <v>27</v>
      </c>
      <c r="E1047" s="1">
        <v>81649.68867241085</v>
      </c>
      <c r="F1047" s="1">
        <v>77081.66057395043</v>
      </c>
      <c r="G1047" s="1">
        <v>1901.0</v>
      </c>
      <c r="H1047" s="1">
        <v>42.95</v>
      </c>
      <c r="I1047" s="1">
        <v>40.55</v>
      </c>
      <c r="J1047" s="1">
        <v>2.4</v>
      </c>
      <c r="K1047" s="1">
        <v>5.59</v>
      </c>
      <c r="L1047" s="1">
        <f t="shared" si="1"/>
        <v>4568.028098</v>
      </c>
      <c r="M1047" s="1" t="str">
        <f t="shared" si="2"/>
        <v>Regular</v>
      </c>
      <c r="N1047" s="1">
        <f t="shared" si="3"/>
        <v>42.95091461</v>
      </c>
      <c r="O1047" s="1">
        <f t="shared" si="4"/>
        <v>40.61791296</v>
      </c>
      <c r="P1047" s="4">
        <f t="shared" si="5"/>
        <v>0.05786640595</v>
      </c>
    </row>
    <row r="1048" ht="15.75" customHeight="1">
      <c r="A1048" s="3">
        <v>42684.0</v>
      </c>
      <c r="B1048" s="1">
        <v>2016.0</v>
      </c>
      <c r="C1048" s="1">
        <v>11.0</v>
      </c>
      <c r="D1048" s="1" t="s">
        <v>27</v>
      </c>
      <c r="E1048" s="1">
        <v>71529.1626442405</v>
      </c>
      <c r="F1048" s="1">
        <v>67551.25097109293</v>
      </c>
      <c r="G1048" s="1">
        <v>1666.0</v>
      </c>
      <c r="H1048" s="1">
        <v>42.93</v>
      </c>
      <c r="I1048" s="1">
        <v>40.55</v>
      </c>
      <c r="J1048" s="1">
        <v>2.39</v>
      </c>
      <c r="K1048" s="1">
        <v>5.56</v>
      </c>
      <c r="L1048" s="1">
        <f t="shared" si="1"/>
        <v>3977.911673</v>
      </c>
      <c r="M1048" s="1" t="str">
        <f t="shared" si="2"/>
        <v>Regular</v>
      </c>
      <c r="N1048" s="1">
        <f t="shared" si="3"/>
        <v>42.93467146</v>
      </c>
      <c r="O1048" s="1">
        <f t="shared" si="4"/>
        <v>40.62550036</v>
      </c>
      <c r="P1048" s="4">
        <f t="shared" si="5"/>
        <v>0.05807374547</v>
      </c>
    </row>
    <row r="1049" ht="15.75" customHeight="1">
      <c r="A1049" s="3">
        <v>42685.0</v>
      </c>
      <c r="B1049" s="1">
        <v>2016.0</v>
      </c>
      <c r="C1049" s="1">
        <v>11.0</v>
      </c>
      <c r="D1049" s="1" t="s">
        <v>27</v>
      </c>
      <c r="E1049" s="1">
        <v>160938.60161507488</v>
      </c>
      <c r="F1049" s="1">
        <v>152555.41733723058</v>
      </c>
      <c r="G1049" s="1">
        <v>3748.0</v>
      </c>
      <c r="H1049" s="1">
        <v>42.94</v>
      </c>
      <c r="I1049" s="1">
        <v>40.7</v>
      </c>
      <c r="J1049" s="1">
        <v>2.24</v>
      </c>
      <c r="K1049" s="1">
        <v>5.21</v>
      </c>
      <c r="L1049" s="1">
        <f t="shared" si="1"/>
        <v>8383.184278</v>
      </c>
      <c r="M1049" s="1" t="str">
        <f t="shared" si="2"/>
        <v>Regular</v>
      </c>
      <c r="N1049" s="1">
        <f t="shared" si="3"/>
        <v>42.93986169</v>
      </c>
      <c r="O1049" s="1">
        <f t="shared" si="4"/>
        <v>40.63374854</v>
      </c>
      <c r="P1049" s="4">
        <f t="shared" si="5"/>
        <v>0.05833096332</v>
      </c>
    </row>
    <row r="1050" ht="15.75" customHeight="1">
      <c r="A1050" s="3">
        <v>42686.0</v>
      </c>
      <c r="B1050" s="1">
        <v>2016.0</v>
      </c>
      <c r="C1050" s="1">
        <v>11.0</v>
      </c>
      <c r="D1050" s="1" t="s">
        <v>27</v>
      </c>
      <c r="E1050" s="1">
        <v>164998.84464116488</v>
      </c>
      <c r="F1050" s="1">
        <v>156263.14947390973</v>
      </c>
      <c r="G1050" s="1">
        <v>3843.0</v>
      </c>
      <c r="H1050" s="1">
        <v>42.93</v>
      </c>
      <c r="I1050" s="1">
        <v>40.66</v>
      </c>
      <c r="J1050" s="1">
        <v>2.27</v>
      </c>
      <c r="K1050" s="1">
        <v>5.29</v>
      </c>
      <c r="L1050" s="1">
        <f t="shared" si="1"/>
        <v>8735.695167</v>
      </c>
      <c r="M1050" s="1" t="str">
        <f t="shared" si="2"/>
        <v>Regular</v>
      </c>
      <c r="N1050" s="1">
        <f t="shared" si="3"/>
        <v>42.93490623</v>
      </c>
      <c r="O1050" s="1">
        <f t="shared" si="4"/>
        <v>40.61227521</v>
      </c>
      <c r="P1050" s="4">
        <f t="shared" si="5"/>
        <v>0.06024974643</v>
      </c>
    </row>
    <row r="1051" ht="15.75" customHeight="1">
      <c r="A1051" s="3">
        <v>42687.0</v>
      </c>
      <c r="B1051" s="1">
        <v>2016.0</v>
      </c>
      <c r="C1051" s="1">
        <v>11.0</v>
      </c>
      <c r="D1051" s="1" t="s">
        <v>27</v>
      </c>
      <c r="E1051" s="1">
        <v>97946.78304739682</v>
      </c>
      <c r="F1051" s="1">
        <v>93112.60890927333</v>
      </c>
      <c r="G1051" s="1">
        <v>2281.0</v>
      </c>
      <c r="H1051" s="1">
        <v>42.94</v>
      </c>
      <c r="I1051" s="1">
        <v>40.82</v>
      </c>
      <c r="J1051" s="1">
        <v>2.12</v>
      </c>
      <c r="K1051" s="1">
        <v>4.94</v>
      </c>
      <c r="L1051" s="1">
        <f t="shared" si="1"/>
        <v>4834.174138</v>
      </c>
      <c r="M1051" s="1" t="str">
        <f t="shared" si="2"/>
        <v>Regular</v>
      </c>
      <c r="N1051" s="1">
        <f t="shared" si="3"/>
        <v>42.94028191</v>
      </c>
      <c r="O1051" s="1">
        <f t="shared" si="4"/>
        <v>40.58928213</v>
      </c>
      <c r="P1051" s="4">
        <f t="shared" si="5"/>
        <v>0.06361202162</v>
      </c>
    </row>
    <row r="1052" ht="15.75" customHeight="1">
      <c r="A1052" s="3">
        <v>42688.0</v>
      </c>
      <c r="B1052" s="1">
        <v>2016.0</v>
      </c>
      <c r="C1052" s="1">
        <v>11.0</v>
      </c>
      <c r="D1052" s="1" t="s">
        <v>27</v>
      </c>
      <c r="E1052" s="1">
        <v>87834.25368438134</v>
      </c>
      <c r="F1052" s="1">
        <v>83068.26902650717</v>
      </c>
      <c r="G1052" s="1">
        <v>2046.0</v>
      </c>
      <c r="H1052" s="1">
        <v>42.93</v>
      </c>
      <c r="I1052" s="1">
        <v>40.6</v>
      </c>
      <c r="J1052" s="1">
        <v>2.33</v>
      </c>
      <c r="K1052" s="1">
        <v>5.43</v>
      </c>
      <c r="L1052" s="1">
        <f t="shared" si="1"/>
        <v>4765.984658</v>
      </c>
      <c r="M1052" s="1" t="str">
        <f t="shared" si="2"/>
        <v>Regular</v>
      </c>
      <c r="N1052" s="1">
        <f t="shared" si="3"/>
        <v>42.92974276</v>
      </c>
      <c r="O1052" s="1">
        <f t="shared" si="4"/>
        <v>40.50105902</v>
      </c>
      <c r="P1052" s="4">
        <f t="shared" si="5"/>
        <v>0.06897104504</v>
      </c>
    </row>
    <row r="1053" ht="15.75" customHeight="1">
      <c r="A1053" s="3">
        <v>42689.0</v>
      </c>
      <c r="B1053" s="1">
        <v>2016.0</v>
      </c>
      <c r="C1053" s="1">
        <v>11.0</v>
      </c>
      <c r="D1053" s="1" t="s">
        <v>27</v>
      </c>
      <c r="E1053" s="1">
        <v>95509.13497507002</v>
      </c>
      <c r="F1053" s="1">
        <v>88104.20453040046</v>
      </c>
      <c r="G1053" s="1">
        <v>2181.0</v>
      </c>
      <c r="H1053" s="1">
        <v>43.79</v>
      </c>
      <c r="I1053" s="1">
        <v>40.4</v>
      </c>
      <c r="J1053" s="1">
        <v>3.4</v>
      </c>
      <c r="K1053" s="1">
        <v>7.75</v>
      </c>
      <c r="L1053" s="1">
        <f t="shared" si="1"/>
        <v>7404.930445</v>
      </c>
      <c r="M1053" s="1" t="str">
        <f t="shared" si="2"/>
        <v>Regular</v>
      </c>
      <c r="N1053" s="1">
        <f t="shared" si="3"/>
        <v>43.79144199</v>
      </c>
      <c r="O1053" s="1">
        <f t="shared" si="4"/>
        <v>40.44956251</v>
      </c>
      <c r="P1053" s="4">
        <f t="shared" si="5"/>
        <v>0.07645073873</v>
      </c>
    </row>
    <row r="1054" ht="15.75" customHeight="1">
      <c r="A1054" s="3">
        <v>42690.0</v>
      </c>
      <c r="B1054" s="1">
        <v>2016.0</v>
      </c>
      <c r="C1054" s="1">
        <v>11.0</v>
      </c>
      <c r="D1054" s="1" t="s">
        <v>27</v>
      </c>
      <c r="E1054" s="1">
        <v>77229.97188523952</v>
      </c>
      <c r="F1054" s="1">
        <v>71428.8700021723</v>
      </c>
      <c r="G1054" s="1">
        <v>1763.0</v>
      </c>
      <c r="H1054" s="1">
        <v>43.81</v>
      </c>
      <c r="I1054" s="1">
        <v>40.52</v>
      </c>
      <c r="J1054" s="1">
        <v>3.29</v>
      </c>
      <c r="K1054" s="1">
        <v>7.51</v>
      </c>
      <c r="L1054" s="1">
        <f t="shared" si="1"/>
        <v>5801.101883</v>
      </c>
      <c r="M1054" s="1" t="str">
        <f t="shared" si="2"/>
        <v>Regular</v>
      </c>
      <c r="N1054" s="1">
        <f t="shared" si="3"/>
        <v>43.80599653</v>
      </c>
      <c r="O1054" s="1">
        <f t="shared" si="4"/>
        <v>40.51552468</v>
      </c>
      <c r="P1054" s="4">
        <f t="shared" si="5"/>
        <v>0.0751146445</v>
      </c>
    </row>
  </sheetData>
  <customSheetViews>
    <customSheetView guid="{10F2B413-E0BA-4820-BBC3-171E5C98CB51}" filter="1" showAutoFilter="1">
      <autoFilter ref="$A$1:$K$1054"/>
      <extLst>
        <ext uri="GoogleSheetsCustomDataVersion1">
          <go:sheetsCustomData xmlns:go="http://customooxmlschemas.google.com/" filterViewId="787814186"/>
        </ext>
      </extLst>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sheetData>
    <row r="1"/>
    <row r="2"/>
    <row r="3"/>
    <row r="4"/>
    <row r="5"/>
    <row r="8"/>
    <row r="9"/>
    <row r="10"/>
    <row r="11"/>
    <row r="16"/>
    <row r="17"/>
    <row r="23"/>
    <row r="24"/>
    <row r="29"/>
    <row r="30"/>
  </sheetData>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sheetData>
    <row r="1"/>
    <row r="2"/>
    <row r="3"/>
    <row r="9"/>
    <row r="10"/>
    <row r="11"/>
    <row r="15">
      <c r="M15" s="6"/>
    </row>
  </sheetData>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2" max="2" width="24.11"/>
  </cols>
  <sheetData>
    <row r="1">
      <c r="A1" s="7"/>
      <c r="B1" s="8"/>
      <c r="C1" s="9"/>
      <c r="D1" s="9"/>
      <c r="E1" s="9"/>
      <c r="F1" s="9"/>
      <c r="G1" s="10"/>
      <c r="H1" s="10"/>
      <c r="I1" s="11"/>
      <c r="J1" s="11"/>
      <c r="K1" s="11"/>
    </row>
    <row r="2">
      <c r="A2" s="7"/>
      <c r="B2" s="8"/>
      <c r="C2" s="12" t="s">
        <v>36</v>
      </c>
      <c r="I2" s="11"/>
      <c r="J2" s="11"/>
      <c r="K2" s="11"/>
    </row>
    <row r="3">
      <c r="A3" s="7"/>
      <c r="B3" s="8"/>
      <c r="I3" s="11"/>
      <c r="J3" s="11"/>
      <c r="K3" s="11"/>
    </row>
    <row r="4">
      <c r="A4" s="7"/>
      <c r="B4" s="11"/>
      <c r="C4" s="11"/>
      <c r="D4" s="11"/>
      <c r="E4" s="11"/>
      <c r="F4" s="11"/>
      <c r="G4" s="11"/>
      <c r="H4" s="11"/>
      <c r="I4" s="11"/>
      <c r="J4" s="11"/>
      <c r="K4" s="11"/>
    </row>
    <row r="5">
      <c r="A5" s="7"/>
      <c r="B5" s="7"/>
      <c r="C5" s="7"/>
      <c r="D5" s="7"/>
      <c r="E5" s="7"/>
      <c r="F5" s="7"/>
      <c r="G5" s="7"/>
      <c r="H5" s="7"/>
      <c r="I5" s="7"/>
      <c r="J5" s="7"/>
      <c r="K5" s="7"/>
    </row>
    <row r="6">
      <c r="A6" s="7"/>
      <c r="B6" s="7"/>
      <c r="C6" s="7"/>
      <c r="D6" s="7"/>
      <c r="E6" s="7"/>
      <c r="F6" s="7"/>
      <c r="G6" s="7"/>
      <c r="H6" s="7"/>
      <c r="I6" s="7"/>
      <c r="J6" s="7"/>
      <c r="K6" s="7"/>
    </row>
    <row r="7">
      <c r="A7" s="7"/>
      <c r="B7" s="7"/>
      <c r="C7" s="7"/>
      <c r="D7" s="7"/>
      <c r="E7" s="7"/>
      <c r="F7" s="7"/>
      <c r="G7" s="7"/>
      <c r="H7" s="7"/>
      <c r="I7" s="7"/>
      <c r="J7" s="7"/>
      <c r="K7" s="7"/>
    </row>
    <row r="8">
      <c r="A8" s="7"/>
      <c r="B8" s="7"/>
      <c r="C8" s="7"/>
      <c r="D8" s="7"/>
      <c r="E8" s="7"/>
      <c r="F8" s="7"/>
      <c r="G8" s="7"/>
      <c r="H8" s="7"/>
      <c r="I8" s="7"/>
      <c r="J8" s="7"/>
      <c r="K8" s="7"/>
    </row>
    <row r="9">
      <c r="A9" s="7"/>
      <c r="B9" s="7"/>
      <c r="C9" s="7"/>
      <c r="D9" s="7"/>
      <c r="E9" s="7"/>
      <c r="F9" s="7"/>
      <c r="G9" s="7"/>
      <c r="H9" s="7"/>
      <c r="I9" s="7"/>
      <c r="J9" s="7"/>
      <c r="K9" s="7"/>
      <c r="M9" s="7"/>
    </row>
    <row r="10">
      <c r="A10" s="7"/>
      <c r="B10" s="7"/>
      <c r="C10" s="7"/>
      <c r="D10" s="7"/>
      <c r="E10" s="7"/>
      <c r="F10" s="7"/>
      <c r="G10" s="7"/>
      <c r="H10" s="7"/>
      <c r="I10" s="7"/>
      <c r="J10" s="7"/>
      <c r="K10" s="7"/>
    </row>
    <row r="11">
      <c r="A11" s="7"/>
      <c r="B11" s="7"/>
      <c r="C11" s="7"/>
      <c r="D11" s="7"/>
      <c r="E11" s="7"/>
      <c r="F11" s="7"/>
      <c r="G11" s="7"/>
      <c r="H11" s="7"/>
      <c r="I11" s="7"/>
      <c r="J11" s="7"/>
      <c r="K11" s="7"/>
      <c r="N11" s="13"/>
    </row>
    <row r="12">
      <c r="A12" s="7"/>
      <c r="B12" s="7"/>
      <c r="C12" s="7"/>
      <c r="D12" s="7"/>
      <c r="E12" s="7"/>
      <c r="F12" s="7"/>
      <c r="G12" s="7"/>
      <c r="H12" s="7"/>
      <c r="I12" s="7"/>
      <c r="J12" s="7"/>
      <c r="K12" s="7"/>
      <c r="M12" s="7"/>
    </row>
    <row r="13">
      <c r="A13" s="7"/>
      <c r="B13" s="7"/>
      <c r="C13" s="7"/>
      <c r="D13" s="7"/>
      <c r="E13" s="7"/>
      <c r="F13" s="7"/>
      <c r="G13" s="7"/>
      <c r="H13" s="7"/>
      <c r="I13" s="7"/>
      <c r="J13" s="7"/>
      <c r="K13" s="7"/>
    </row>
    <row r="14">
      <c r="A14" s="7"/>
      <c r="B14" s="7"/>
      <c r="C14" s="7"/>
      <c r="D14" s="7"/>
      <c r="E14" s="7"/>
      <c r="F14" s="7"/>
      <c r="G14" s="7"/>
      <c r="H14" s="7"/>
      <c r="I14" s="7"/>
      <c r="J14" s="7"/>
      <c r="K14" s="7"/>
    </row>
    <row r="15">
      <c r="A15" s="7"/>
      <c r="B15" s="7"/>
      <c r="C15" s="7"/>
      <c r="D15" s="7"/>
      <c r="E15" s="7"/>
      <c r="F15" s="7"/>
      <c r="G15" s="7"/>
      <c r="H15" s="7"/>
      <c r="I15" s="7"/>
      <c r="J15" s="7"/>
      <c r="K15" s="7"/>
    </row>
    <row r="16">
      <c r="A16" s="7"/>
      <c r="B16" s="7"/>
      <c r="C16" s="7"/>
      <c r="D16" s="7"/>
      <c r="E16" s="7"/>
      <c r="F16" s="7"/>
      <c r="G16" s="7"/>
      <c r="H16" s="7"/>
      <c r="I16" s="7"/>
      <c r="J16" s="7"/>
      <c r="K16" s="7"/>
    </row>
    <row r="17">
      <c r="A17" s="7"/>
      <c r="B17" s="7"/>
      <c r="C17" s="7"/>
      <c r="D17" s="7"/>
      <c r="E17" s="7"/>
      <c r="F17" s="7"/>
      <c r="G17" s="7"/>
      <c r="H17" s="7"/>
      <c r="I17" s="7"/>
      <c r="J17" s="7"/>
      <c r="K17" s="7"/>
    </row>
    <row r="18">
      <c r="A18" s="7"/>
      <c r="B18" s="7"/>
      <c r="C18" s="7"/>
      <c r="D18" s="7"/>
      <c r="E18" s="7"/>
      <c r="F18" s="7"/>
      <c r="G18" s="7"/>
      <c r="H18" s="7"/>
      <c r="I18" s="7"/>
      <c r="J18" s="7"/>
      <c r="K18" s="7"/>
    </row>
    <row r="19">
      <c r="A19" s="7"/>
      <c r="B19" s="7"/>
      <c r="C19" s="7"/>
      <c r="D19" s="7"/>
      <c r="E19" s="7"/>
      <c r="F19" s="7"/>
      <c r="G19" s="7"/>
      <c r="H19" s="7"/>
      <c r="I19" s="7"/>
      <c r="J19" s="7"/>
      <c r="K19" s="7"/>
    </row>
    <row r="20">
      <c r="A20" s="7"/>
      <c r="B20" s="7"/>
      <c r="C20" s="7"/>
      <c r="D20" s="7"/>
      <c r="E20" s="7"/>
      <c r="F20" s="7"/>
      <c r="G20" s="7"/>
      <c r="H20" s="7"/>
      <c r="I20" s="7"/>
      <c r="J20" s="7"/>
      <c r="K20" s="7"/>
    </row>
    <row r="21">
      <c r="A21" s="7"/>
      <c r="B21" s="7"/>
      <c r="C21" s="7"/>
      <c r="D21" s="7"/>
      <c r="E21" s="7"/>
      <c r="F21" s="7"/>
      <c r="G21" s="7"/>
      <c r="H21" s="7"/>
      <c r="I21" s="7"/>
      <c r="J21" s="7"/>
      <c r="K21" s="7"/>
    </row>
    <row r="22">
      <c r="A22" s="7"/>
      <c r="B22" s="7"/>
      <c r="C22" s="7"/>
      <c r="D22" s="7"/>
      <c r="E22" s="7"/>
      <c r="F22" s="7"/>
      <c r="G22" s="7"/>
      <c r="H22" s="7"/>
      <c r="I22" s="7"/>
      <c r="J22" s="7"/>
      <c r="K22" s="7"/>
    </row>
    <row r="23">
      <c r="A23" s="7"/>
      <c r="B23" s="7"/>
      <c r="C23" s="7"/>
      <c r="D23" s="7"/>
      <c r="E23" s="7"/>
      <c r="F23" s="7"/>
      <c r="G23" s="7"/>
      <c r="H23" s="7"/>
      <c r="I23" s="7"/>
      <c r="J23" s="7"/>
      <c r="K23" s="7"/>
    </row>
    <row r="24">
      <c r="A24" s="7"/>
      <c r="B24" s="7"/>
      <c r="C24" s="7"/>
      <c r="D24" s="7"/>
      <c r="E24" s="7"/>
      <c r="F24" s="7"/>
      <c r="G24" s="7"/>
      <c r="H24" s="7"/>
      <c r="I24" s="7"/>
      <c r="J24" s="7"/>
      <c r="K24" s="7"/>
    </row>
    <row r="25">
      <c r="A25" s="7"/>
      <c r="B25" s="7"/>
      <c r="C25" s="7"/>
      <c r="D25" s="7"/>
      <c r="E25" s="7"/>
      <c r="F25" s="7"/>
      <c r="G25" s="7"/>
      <c r="H25" s="7"/>
      <c r="I25" s="7"/>
      <c r="J25" s="7"/>
      <c r="K25" s="7"/>
    </row>
    <row r="26">
      <c r="A26" s="7"/>
      <c r="B26" s="7"/>
      <c r="C26" s="7"/>
      <c r="D26" s="7"/>
      <c r="E26" s="7"/>
      <c r="F26" s="7"/>
      <c r="G26" s="7"/>
      <c r="H26" s="7"/>
      <c r="I26" s="7"/>
      <c r="J26" s="7"/>
      <c r="K26" s="7"/>
    </row>
    <row r="27">
      <c r="A27" s="7"/>
      <c r="B27" s="7"/>
      <c r="C27" s="7"/>
      <c r="D27" s="7"/>
      <c r="E27" s="7"/>
      <c r="F27" s="7"/>
      <c r="G27" s="7"/>
      <c r="H27" s="7"/>
      <c r="I27" s="7"/>
      <c r="J27" s="7"/>
      <c r="K27" s="7"/>
    </row>
    <row r="28">
      <c r="A28" s="7"/>
      <c r="B28" s="7"/>
      <c r="C28" s="7"/>
      <c r="D28" s="7"/>
      <c r="E28" s="7"/>
      <c r="F28" s="7"/>
      <c r="G28" s="7"/>
      <c r="H28" s="7"/>
      <c r="I28" s="7"/>
      <c r="J28" s="7"/>
      <c r="K28" s="7"/>
    </row>
    <row r="29">
      <c r="A29" s="7"/>
      <c r="B29" s="7"/>
      <c r="C29" s="7"/>
      <c r="D29" s="7"/>
      <c r="E29" s="7"/>
      <c r="F29" s="7"/>
      <c r="G29" s="7"/>
      <c r="H29" s="7"/>
      <c r="I29" s="7"/>
      <c r="J29" s="7"/>
      <c r="K29" s="7"/>
    </row>
    <row r="30">
      <c r="A30" s="7"/>
      <c r="B30" s="7"/>
      <c r="C30" s="7"/>
      <c r="D30" s="7"/>
      <c r="E30" s="7"/>
      <c r="F30" s="7"/>
      <c r="G30" s="7"/>
      <c r="H30" s="7"/>
      <c r="I30" s="7"/>
      <c r="J30" s="7"/>
      <c r="K30" s="7"/>
    </row>
    <row r="31">
      <c r="A31" s="7"/>
      <c r="B31" s="7"/>
      <c r="C31" s="7"/>
      <c r="D31" s="7"/>
      <c r="E31" s="7"/>
      <c r="F31" s="7"/>
      <c r="G31" s="7"/>
      <c r="H31" s="7"/>
      <c r="I31" s="7"/>
      <c r="J31" s="7"/>
      <c r="K31" s="7"/>
    </row>
    <row r="32">
      <c r="A32" s="7"/>
      <c r="B32" s="7"/>
      <c r="C32" s="7"/>
      <c r="D32" s="7"/>
      <c r="E32" s="7"/>
      <c r="F32" s="7"/>
      <c r="G32" s="7"/>
      <c r="H32" s="7"/>
      <c r="I32" s="7"/>
      <c r="J32" s="7"/>
      <c r="K32" s="7"/>
    </row>
    <row r="33">
      <c r="A33" s="7"/>
      <c r="B33" s="7"/>
      <c r="C33" s="7"/>
      <c r="D33" s="7"/>
      <c r="E33" s="7"/>
      <c r="F33" s="7"/>
      <c r="G33" s="7"/>
      <c r="H33" s="7"/>
      <c r="I33" s="7"/>
      <c r="J33" s="7"/>
      <c r="K33" s="7"/>
    </row>
    <row r="34">
      <c r="A34" s="7"/>
      <c r="B34" s="7"/>
      <c r="C34" s="7"/>
      <c r="D34" s="7"/>
      <c r="E34" s="7"/>
      <c r="F34" s="7"/>
      <c r="G34" s="7"/>
      <c r="H34" s="7"/>
      <c r="I34" s="7"/>
      <c r="J34" s="7"/>
      <c r="K34" s="7"/>
    </row>
    <row r="35">
      <c r="A35" s="7"/>
      <c r="B35" s="7"/>
      <c r="C35" s="7"/>
      <c r="D35" s="7"/>
      <c r="E35" s="7"/>
      <c r="F35" s="7"/>
      <c r="G35" s="7"/>
      <c r="H35" s="7"/>
      <c r="I35" s="7"/>
      <c r="J35" s="7"/>
      <c r="K35" s="7"/>
    </row>
    <row r="36">
      <c r="A36" s="7"/>
      <c r="B36" s="7"/>
      <c r="C36" s="7"/>
      <c r="D36" s="7"/>
      <c r="E36" s="7"/>
      <c r="F36" s="7"/>
      <c r="G36" s="7"/>
      <c r="H36" s="7"/>
      <c r="I36" s="7"/>
      <c r="J36" s="7"/>
      <c r="K36" s="7"/>
    </row>
    <row r="37">
      <c r="A37" s="7"/>
      <c r="B37" s="7"/>
      <c r="C37" s="7"/>
      <c r="D37" s="7"/>
      <c r="E37" s="7"/>
      <c r="F37" s="7"/>
      <c r="G37" s="7"/>
      <c r="H37" s="7"/>
      <c r="I37" s="7"/>
      <c r="J37" s="7"/>
      <c r="K37" s="7"/>
    </row>
    <row r="38">
      <c r="A38" s="7"/>
      <c r="B38" s="7"/>
      <c r="C38" s="7"/>
      <c r="D38" s="7"/>
      <c r="E38" s="7"/>
      <c r="F38" s="7"/>
      <c r="G38" s="7"/>
      <c r="H38" s="7"/>
      <c r="I38" s="7"/>
      <c r="J38" s="7"/>
      <c r="K38" s="7"/>
    </row>
    <row r="39">
      <c r="A39" s="7"/>
      <c r="B39" s="7"/>
      <c r="C39" s="7"/>
      <c r="D39" s="7"/>
      <c r="E39" s="7"/>
      <c r="F39" s="7"/>
      <c r="G39" s="7"/>
      <c r="H39" s="7"/>
      <c r="I39" s="7"/>
      <c r="J39" s="7"/>
      <c r="K39" s="7"/>
    </row>
    <row r="40">
      <c r="A40" s="7"/>
      <c r="B40" s="7"/>
      <c r="C40" s="7"/>
      <c r="D40" s="7"/>
      <c r="E40" s="7"/>
      <c r="F40" s="7"/>
      <c r="G40" s="7"/>
      <c r="H40" s="7"/>
      <c r="I40" s="7"/>
      <c r="J40" s="7"/>
      <c r="K40" s="7"/>
    </row>
    <row r="41">
      <c r="A41" s="7"/>
      <c r="B41" s="7"/>
      <c r="C41" s="7"/>
      <c r="D41" s="7"/>
      <c r="E41" s="7"/>
      <c r="F41" s="7"/>
      <c r="G41" s="7"/>
      <c r="H41" s="7"/>
      <c r="I41" s="7"/>
      <c r="J41" s="7"/>
      <c r="K41" s="7"/>
    </row>
    <row r="42">
      <c r="A42" s="7"/>
      <c r="B42" s="7"/>
      <c r="C42" s="7"/>
      <c r="D42" s="7"/>
      <c r="E42" s="7"/>
      <c r="F42" s="7"/>
      <c r="G42" s="7"/>
      <c r="H42" s="7"/>
      <c r="I42" s="7"/>
      <c r="J42" s="7"/>
      <c r="K42" s="7"/>
    </row>
    <row r="43">
      <c r="A43" s="7"/>
      <c r="B43" s="7"/>
      <c r="C43" s="7"/>
      <c r="D43" s="7"/>
      <c r="E43" s="7"/>
      <c r="F43" s="7"/>
      <c r="G43" s="7"/>
      <c r="H43" s="7"/>
      <c r="I43" s="7"/>
      <c r="J43" s="7"/>
      <c r="K43" s="7"/>
    </row>
    <row r="44">
      <c r="A44" s="7"/>
      <c r="B44" s="7"/>
      <c r="C44" s="7"/>
      <c r="D44" s="7"/>
      <c r="E44" s="7"/>
      <c r="F44" s="7"/>
      <c r="G44" s="7"/>
      <c r="H44" s="7"/>
      <c r="I44" s="7"/>
      <c r="J44" s="7"/>
      <c r="K44" s="7"/>
    </row>
    <row r="45">
      <c r="A45" s="7"/>
      <c r="B45" s="7"/>
      <c r="C45" s="7"/>
      <c r="D45" s="7"/>
      <c r="E45" s="7"/>
      <c r="F45" s="7"/>
      <c r="G45" s="7"/>
      <c r="H45" s="7"/>
      <c r="I45" s="7"/>
      <c r="J45" s="7"/>
      <c r="K45" s="7"/>
    </row>
    <row r="46">
      <c r="A46" s="7"/>
      <c r="B46" s="7"/>
      <c r="C46" s="7"/>
      <c r="D46" s="7"/>
      <c r="E46" s="7"/>
      <c r="F46" s="7"/>
      <c r="G46" s="7"/>
      <c r="H46" s="7"/>
      <c r="I46" s="7"/>
      <c r="J46" s="7"/>
      <c r="K46" s="7"/>
    </row>
    <row r="47">
      <c r="A47" s="7"/>
      <c r="B47" s="7"/>
      <c r="C47" s="7"/>
      <c r="D47" s="7"/>
      <c r="E47" s="7"/>
      <c r="F47" s="7"/>
      <c r="G47" s="7"/>
      <c r="H47" s="7"/>
      <c r="I47" s="7"/>
      <c r="J47" s="7"/>
      <c r="K47" s="7"/>
    </row>
    <row r="48">
      <c r="A48" s="7"/>
      <c r="B48" s="7"/>
      <c r="C48" s="7"/>
      <c r="D48" s="7"/>
      <c r="E48" s="7"/>
      <c r="F48" s="7"/>
      <c r="G48" s="7"/>
      <c r="H48" s="7"/>
      <c r="I48" s="7"/>
      <c r="J48" s="7"/>
      <c r="K48" s="7"/>
    </row>
    <row r="49">
      <c r="A49" s="7"/>
      <c r="B49" s="7"/>
      <c r="C49" s="7"/>
      <c r="D49" s="7"/>
      <c r="E49" s="7"/>
      <c r="F49" s="7"/>
      <c r="G49" s="7"/>
      <c r="H49" s="7"/>
      <c r="I49" s="7"/>
      <c r="J49" s="7"/>
      <c r="K49" s="7"/>
    </row>
    <row r="50">
      <c r="A50" s="7"/>
      <c r="B50" s="7"/>
      <c r="C50" s="7"/>
      <c r="D50" s="7"/>
      <c r="E50" s="7"/>
      <c r="F50" s="7"/>
      <c r="G50" s="7"/>
      <c r="H50" s="7"/>
      <c r="I50" s="7"/>
      <c r="J50" s="7"/>
      <c r="K50" s="7"/>
    </row>
    <row r="51">
      <c r="A51" s="7"/>
      <c r="B51" s="7"/>
      <c r="C51" s="7"/>
      <c r="D51" s="7"/>
      <c r="E51" s="7"/>
      <c r="F51" s="7"/>
      <c r="G51" s="7"/>
      <c r="H51" s="7"/>
      <c r="I51" s="7"/>
      <c r="J51" s="7"/>
      <c r="K51" s="7"/>
    </row>
    <row r="52">
      <c r="A52" s="7"/>
      <c r="B52" s="7"/>
      <c r="C52" s="7"/>
      <c r="D52" s="7"/>
      <c r="E52" s="7"/>
      <c r="F52" s="7"/>
      <c r="G52" s="7"/>
      <c r="H52" s="7"/>
      <c r="I52" s="7"/>
      <c r="J52" s="7"/>
      <c r="K52" s="7"/>
    </row>
    <row r="53">
      <c r="A53" s="7"/>
      <c r="B53" s="7"/>
      <c r="C53" s="7"/>
      <c r="D53" s="7"/>
      <c r="E53" s="7"/>
      <c r="F53" s="7"/>
      <c r="G53" s="7"/>
      <c r="H53" s="7"/>
      <c r="I53" s="7"/>
      <c r="J53" s="7"/>
      <c r="K53" s="7"/>
    </row>
    <row r="54">
      <c r="A54" s="7"/>
      <c r="B54" s="7"/>
      <c r="C54" s="7"/>
      <c r="D54" s="7"/>
      <c r="E54" s="7"/>
      <c r="F54" s="7"/>
      <c r="G54" s="7"/>
      <c r="H54" s="7"/>
      <c r="I54" s="7"/>
      <c r="J54" s="7"/>
      <c r="K54" s="7"/>
    </row>
    <row r="55">
      <c r="A55" s="7"/>
      <c r="B55" s="7"/>
      <c r="C55" s="7"/>
      <c r="D55" s="7"/>
      <c r="E55" s="7"/>
      <c r="F55" s="7"/>
      <c r="G55" s="7"/>
      <c r="H55" s="7"/>
      <c r="I55" s="7"/>
      <c r="J55" s="7"/>
      <c r="K55" s="7"/>
    </row>
    <row r="56">
      <c r="A56" s="7"/>
      <c r="B56" s="7"/>
      <c r="C56" s="7"/>
      <c r="D56" s="7"/>
      <c r="E56" s="7"/>
      <c r="F56" s="7"/>
      <c r="G56" s="7"/>
      <c r="H56" s="7"/>
      <c r="I56" s="7"/>
      <c r="J56" s="7"/>
      <c r="K56" s="7"/>
    </row>
    <row r="57">
      <c r="A57" s="7"/>
      <c r="B57" s="7"/>
      <c r="C57" s="7"/>
      <c r="D57" s="7"/>
      <c r="E57" s="7"/>
      <c r="F57" s="7"/>
      <c r="G57" s="7"/>
      <c r="H57" s="7"/>
      <c r="I57" s="7"/>
      <c r="J57" s="7"/>
      <c r="K57" s="7"/>
    </row>
    <row r="58">
      <c r="A58" s="7"/>
      <c r="B58" s="7"/>
      <c r="C58" s="7"/>
      <c r="D58" s="7"/>
      <c r="E58" s="7"/>
      <c r="F58" s="7"/>
      <c r="G58" s="7"/>
      <c r="H58" s="7"/>
      <c r="I58" s="7"/>
      <c r="J58" s="7"/>
      <c r="K58" s="7"/>
    </row>
    <row r="59">
      <c r="A59" s="7"/>
      <c r="B59" s="7"/>
      <c r="C59" s="7"/>
      <c r="D59" s="7"/>
      <c r="E59" s="7"/>
      <c r="F59" s="7"/>
      <c r="G59" s="7"/>
      <c r="H59" s="7"/>
      <c r="I59" s="7"/>
      <c r="J59" s="7"/>
      <c r="K59" s="7"/>
    </row>
    <row r="60">
      <c r="A60" s="7"/>
      <c r="B60" s="7"/>
      <c r="C60" s="7"/>
      <c r="D60" s="7"/>
      <c r="E60" s="7"/>
      <c r="F60" s="7"/>
      <c r="G60" s="7"/>
      <c r="H60" s="7"/>
      <c r="I60" s="7"/>
      <c r="J60" s="7"/>
      <c r="K60" s="7"/>
    </row>
    <row r="61">
      <c r="A61" s="7"/>
      <c r="B61" s="7"/>
      <c r="C61" s="7"/>
      <c r="D61" s="7"/>
      <c r="E61" s="7"/>
      <c r="F61" s="7"/>
      <c r="G61" s="7"/>
      <c r="H61" s="7"/>
      <c r="I61" s="7"/>
      <c r="J61" s="7"/>
      <c r="K61" s="7"/>
    </row>
    <row r="62">
      <c r="A62" s="7"/>
      <c r="B62" s="7"/>
      <c r="C62" s="7"/>
      <c r="D62" s="7"/>
      <c r="E62" s="7"/>
      <c r="F62" s="7"/>
      <c r="G62" s="7"/>
      <c r="H62" s="7"/>
      <c r="I62" s="7"/>
      <c r="J62" s="7"/>
      <c r="K62" s="7"/>
    </row>
    <row r="63">
      <c r="A63" s="7"/>
      <c r="B63" s="7"/>
      <c r="C63" s="7"/>
      <c r="D63" s="7"/>
      <c r="E63" s="7"/>
      <c r="F63" s="7"/>
      <c r="G63" s="7"/>
      <c r="H63" s="7"/>
      <c r="I63" s="7"/>
      <c r="J63" s="7"/>
      <c r="K63" s="7"/>
    </row>
    <row r="64">
      <c r="A64" s="7"/>
      <c r="B64" s="7"/>
      <c r="C64" s="7"/>
      <c r="D64" s="7"/>
      <c r="E64" s="7"/>
      <c r="F64" s="7"/>
      <c r="G64" s="7"/>
      <c r="H64" s="7"/>
      <c r="I64" s="7"/>
      <c r="J64" s="7"/>
      <c r="K64" s="7"/>
    </row>
    <row r="65">
      <c r="A65" s="7"/>
      <c r="B65" s="7"/>
      <c r="C65" s="7"/>
      <c r="D65" s="7"/>
      <c r="E65" s="7"/>
      <c r="F65" s="7"/>
      <c r="G65" s="7"/>
      <c r="H65" s="7"/>
      <c r="I65" s="7"/>
      <c r="J65" s="7"/>
      <c r="K65" s="7"/>
    </row>
    <row r="66">
      <c r="A66" s="7"/>
      <c r="B66" s="7"/>
      <c r="C66" s="7"/>
      <c r="D66" s="7"/>
      <c r="E66" s="7"/>
      <c r="F66" s="7"/>
      <c r="G66" s="7"/>
      <c r="H66" s="7"/>
      <c r="I66" s="7"/>
      <c r="J66" s="7"/>
      <c r="K66" s="7"/>
    </row>
    <row r="67">
      <c r="A67" s="7"/>
      <c r="B67" s="7"/>
      <c r="C67" s="7"/>
      <c r="D67" s="7"/>
      <c r="E67" s="7"/>
      <c r="F67" s="7"/>
      <c r="G67" s="7"/>
      <c r="H67" s="7"/>
      <c r="I67" s="7"/>
      <c r="J67" s="7"/>
      <c r="K67" s="7"/>
    </row>
    <row r="68">
      <c r="A68" s="7"/>
      <c r="B68" s="7"/>
      <c r="C68" s="7"/>
      <c r="D68" s="7"/>
      <c r="E68" s="7"/>
      <c r="F68" s="7"/>
      <c r="G68" s="7"/>
      <c r="H68" s="7"/>
      <c r="I68" s="7"/>
      <c r="J68" s="7"/>
      <c r="K68" s="7"/>
    </row>
    <row r="69">
      <c r="A69" s="7"/>
      <c r="B69" s="7"/>
      <c r="C69" s="7"/>
      <c r="D69" s="7"/>
      <c r="E69" s="7"/>
      <c r="F69" s="7"/>
      <c r="G69" s="7"/>
      <c r="H69" s="7"/>
      <c r="I69" s="7"/>
      <c r="J69" s="7"/>
      <c r="K69" s="7"/>
    </row>
    <row r="70">
      <c r="A70" s="7"/>
      <c r="B70" s="7"/>
      <c r="C70" s="7"/>
      <c r="D70" s="7"/>
      <c r="E70" s="7"/>
      <c r="F70" s="7"/>
      <c r="G70" s="7"/>
      <c r="H70" s="7"/>
      <c r="I70" s="7"/>
      <c r="J70" s="7"/>
      <c r="K70" s="7"/>
    </row>
    <row r="71">
      <c r="A71" s="7"/>
      <c r="B71" s="7"/>
      <c r="C71" s="7"/>
      <c r="D71" s="7"/>
      <c r="E71" s="7"/>
      <c r="F71" s="7"/>
      <c r="G71" s="7"/>
      <c r="H71" s="7"/>
      <c r="I71" s="7"/>
      <c r="J71" s="7"/>
      <c r="K71" s="7"/>
    </row>
    <row r="72">
      <c r="A72" s="7"/>
      <c r="B72" s="7"/>
      <c r="C72" s="7"/>
      <c r="D72" s="7"/>
      <c r="E72" s="7"/>
      <c r="F72" s="7"/>
      <c r="G72" s="7"/>
      <c r="H72" s="7"/>
      <c r="I72" s="7"/>
      <c r="J72" s="7"/>
      <c r="K72" s="7"/>
    </row>
    <row r="73">
      <c r="A73" s="7"/>
      <c r="B73" s="7"/>
      <c r="C73" s="7"/>
      <c r="D73" s="7"/>
      <c r="E73" s="7"/>
      <c r="F73" s="7"/>
      <c r="G73" s="7"/>
      <c r="H73" s="7"/>
      <c r="I73" s="7"/>
      <c r="J73" s="7"/>
      <c r="K73" s="7"/>
    </row>
    <row r="74">
      <c r="A74" s="7"/>
      <c r="B74" s="7"/>
      <c r="C74" s="7"/>
      <c r="D74" s="7"/>
      <c r="E74" s="7"/>
      <c r="F74" s="7"/>
      <c r="G74" s="7"/>
      <c r="H74" s="7"/>
      <c r="I74" s="7"/>
      <c r="J74" s="7"/>
      <c r="K74" s="7"/>
    </row>
    <row r="75">
      <c r="A75" s="7"/>
      <c r="B75" s="7"/>
      <c r="C75" s="7"/>
      <c r="D75" s="7"/>
      <c r="E75" s="7"/>
      <c r="F75" s="7"/>
      <c r="G75" s="7"/>
      <c r="H75" s="7"/>
      <c r="I75" s="7"/>
      <c r="J75" s="7"/>
      <c r="K75" s="7"/>
    </row>
    <row r="76">
      <c r="A76" s="7"/>
      <c r="B76" s="7"/>
      <c r="C76" s="7"/>
      <c r="D76" s="7"/>
      <c r="E76" s="7"/>
      <c r="F76" s="7"/>
      <c r="G76" s="7"/>
      <c r="H76" s="7"/>
      <c r="I76" s="7"/>
      <c r="J76" s="7"/>
      <c r="K76" s="7"/>
    </row>
    <row r="77">
      <c r="A77" s="7"/>
      <c r="B77" s="7"/>
      <c r="C77" s="7"/>
      <c r="D77" s="7"/>
      <c r="E77" s="7"/>
      <c r="F77" s="7"/>
      <c r="G77" s="7"/>
      <c r="H77" s="7"/>
      <c r="I77" s="7"/>
      <c r="J77" s="7"/>
      <c r="K77" s="7"/>
    </row>
    <row r="78">
      <c r="A78" s="7"/>
      <c r="B78" s="7"/>
      <c r="C78" s="7"/>
      <c r="D78" s="7"/>
      <c r="E78" s="7"/>
      <c r="F78" s="7"/>
      <c r="G78" s="7"/>
      <c r="H78" s="7"/>
      <c r="I78" s="7"/>
      <c r="J78" s="7"/>
      <c r="K78" s="7"/>
    </row>
    <row r="79">
      <c r="A79" s="7"/>
      <c r="B79" s="7"/>
      <c r="C79" s="7"/>
      <c r="D79" s="7"/>
      <c r="E79" s="7"/>
      <c r="F79" s="7"/>
      <c r="G79" s="7"/>
      <c r="H79" s="7"/>
      <c r="I79" s="7"/>
      <c r="J79" s="7"/>
      <c r="K79" s="7"/>
    </row>
    <row r="80">
      <c r="A80" s="7"/>
      <c r="B80" s="7"/>
      <c r="C80" s="7"/>
      <c r="D80" s="7"/>
      <c r="E80" s="7"/>
      <c r="F80" s="7"/>
      <c r="G80" s="7"/>
      <c r="H80" s="7"/>
      <c r="I80" s="7"/>
      <c r="J80" s="7"/>
      <c r="K80" s="7"/>
    </row>
    <row r="81">
      <c r="A81" s="7"/>
      <c r="B81" s="7"/>
      <c r="C81" s="7"/>
      <c r="D81" s="7"/>
      <c r="E81" s="7"/>
      <c r="F81" s="7"/>
      <c r="G81" s="7"/>
      <c r="H81" s="7"/>
      <c r="I81" s="7"/>
      <c r="J81" s="7"/>
      <c r="K81" s="7"/>
    </row>
    <row r="82">
      <c r="A82" s="7"/>
      <c r="B82" s="7"/>
      <c r="C82" s="7"/>
      <c r="D82" s="7"/>
      <c r="E82" s="7"/>
      <c r="F82" s="7"/>
      <c r="G82" s="7"/>
      <c r="H82" s="7"/>
      <c r="I82" s="7"/>
      <c r="J82" s="7"/>
      <c r="K82" s="7"/>
    </row>
    <row r="83">
      <c r="A83" s="7"/>
      <c r="B83" s="7"/>
      <c r="C83" s="7"/>
      <c r="D83" s="7"/>
      <c r="E83" s="7"/>
      <c r="F83" s="7"/>
      <c r="G83" s="7"/>
      <c r="H83" s="7"/>
      <c r="I83" s="7"/>
      <c r="J83" s="7"/>
      <c r="K83" s="7"/>
    </row>
    <row r="84">
      <c r="A84" s="7"/>
      <c r="B84" s="7"/>
      <c r="C84" s="7"/>
      <c r="D84" s="7"/>
      <c r="E84" s="7"/>
      <c r="F84" s="7"/>
      <c r="G84" s="7"/>
      <c r="H84" s="7"/>
      <c r="I84" s="7"/>
      <c r="J84" s="7"/>
      <c r="K84" s="7"/>
    </row>
    <row r="85">
      <c r="A85" s="7"/>
      <c r="B85" s="7"/>
      <c r="C85" s="7"/>
      <c r="D85" s="7"/>
      <c r="E85" s="7"/>
      <c r="F85" s="7"/>
      <c r="G85" s="7"/>
      <c r="H85" s="7"/>
      <c r="I85" s="7"/>
      <c r="J85" s="7"/>
      <c r="K85" s="7"/>
    </row>
    <row r="86">
      <c r="A86" s="7"/>
      <c r="B86" s="7"/>
      <c r="C86" s="7"/>
      <c r="D86" s="7"/>
      <c r="E86" s="7"/>
      <c r="F86" s="7"/>
      <c r="G86" s="7"/>
      <c r="H86" s="7"/>
      <c r="I86" s="7"/>
      <c r="J86" s="7"/>
      <c r="K86" s="7"/>
    </row>
    <row r="87">
      <c r="A87" s="7"/>
      <c r="B87" s="7"/>
      <c r="C87" s="7"/>
      <c r="D87" s="7"/>
      <c r="E87" s="7"/>
      <c r="F87" s="7"/>
      <c r="G87" s="7"/>
      <c r="H87" s="7"/>
      <c r="I87" s="7"/>
      <c r="J87" s="7"/>
      <c r="K87" s="7"/>
    </row>
    <row r="88">
      <c r="A88" s="7"/>
      <c r="B88" s="7"/>
      <c r="C88" s="7"/>
      <c r="D88" s="7"/>
      <c r="E88" s="7"/>
      <c r="F88" s="7"/>
      <c r="G88" s="7"/>
      <c r="H88" s="7"/>
      <c r="I88" s="7"/>
      <c r="J88" s="7"/>
      <c r="K88" s="7"/>
    </row>
    <row r="89">
      <c r="A89" s="7"/>
      <c r="B89" s="7"/>
      <c r="C89" s="7"/>
      <c r="D89" s="7"/>
      <c r="E89" s="7"/>
      <c r="F89" s="7"/>
      <c r="G89" s="7"/>
      <c r="H89" s="7"/>
      <c r="I89" s="7"/>
      <c r="J89" s="7"/>
      <c r="K89" s="7"/>
    </row>
    <row r="90">
      <c r="A90" s="7"/>
      <c r="B90" s="7"/>
      <c r="C90" s="7"/>
      <c r="D90" s="7"/>
      <c r="E90" s="7"/>
      <c r="F90" s="7"/>
      <c r="G90" s="7"/>
      <c r="H90" s="7"/>
      <c r="I90" s="7"/>
      <c r="J90" s="7"/>
      <c r="K90" s="7"/>
    </row>
    <row r="91">
      <c r="A91" s="7"/>
      <c r="B91" s="7"/>
      <c r="C91" s="7"/>
      <c r="D91" s="7"/>
      <c r="E91" s="7"/>
      <c r="F91" s="7"/>
      <c r="G91" s="7"/>
      <c r="H91" s="7"/>
      <c r="I91" s="7"/>
      <c r="J91" s="7"/>
      <c r="K91" s="7"/>
    </row>
    <row r="92">
      <c r="A92" s="7"/>
      <c r="B92" s="7"/>
      <c r="C92" s="7"/>
      <c r="D92" s="7"/>
      <c r="E92" s="7"/>
      <c r="F92" s="7"/>
      <c r="G92" s="7"/>
      <c r="H92" s="7"/>
      <c r="I92" s="7"/>
      <c r="J92" s="7"/>
      <c r="K92" s="7"/>
    </row>
    <row r="93">
      <c r="A93" s="7"/>
      <c r="B93" s="7"/>
      <c r="C93" s="7"/>
      <c r="D93" s="7"/>
      <c r="E93" s="7"/>
      <c r="F93" s="7"/>
      <c r="G93" s="7"/>
      <c r="H93" s="7"/>
      <c r="I93" s="7"/>
      <c r="J93" s="7"/>
      <c r="K93" s="7"/>
    </row>
    <row r="94">
      <c r="A94" s="7"/>
      <c r="B94" s="7"/>
      <c r="C94" s="7"/>
      <c r="D94" s="7"/>
      <c r="E94" s="7"/>
      <c r="F94" s="7"/>
      <c r="G94" s="7"/>
      <c r="H94" s="7"/>
      <c r="I94" s="7"/>
      <c r="J94" s="7"/>
      <c r="K94" s="7"/>
    </row>
    <row r="95">
      <c r="A95" s="7"/>
      <c r="B95" s="7"/>
      <c r="C95" s="7"/>
      <c r="D95" s="7"/>
      <c r="E95" s="7"/>
      <c r="F95" s="7"/>
      <c r="G95" s="7"/>
      <c r="H95" s="7"/>
      <c r="I95" s="7"/>
      <c r="J95" s="7"/>
      <c r="K95" s="7"/>
    </row>
    <row r="96">
      <c r="A96" s="7"/>
      <c r="B96" s="7"/>
      <c r="C96" s="7"/>
      <c r="D96" s="7"/>
      <c r="E96" s="7"/>
      <c r="F96" s="7"/>
      <c r="G96" s="7"/>
      <c r="H96" s="7"/>
      <c r="I96" s="7"/>
      <c r="J96" s="7"/>
      <c r="K96" s="7"/>
    </row>
    <row r="97">
      <c r="A97" s="7"/>
      <c r="B97" s="7"/>
      <c r="C97" s="7"/>
      <c r="D97" s="7"/>
      <c r="E97" s="7"/>
      <c r="F97" s="7"/>
      <c r="G97" s="7"/>
      <c r="H97" s="7"/>
      <c r="I97" s="7"/>
      <c r="J97" s="7"/>
      <c r="K97" s="7"/>
    </row>
    <row r="98">
      <c r="A98" s="7"/>
      <c r="B98" s="7"/>
      <c r="C98" s="7"/>
      <c r="D98" s="7"/>
      <c r="E98" s="7"/>
      <c r="F98" s="7"/>
      <c r="G98" s="7"/>
      <c r="H98" s="7"/>
      <c r="I98" s="7"/>
      <c r="J98" s="7"/>
      <c r="K98" s="7"/>
    </row>
    <row r="99">
      <c r="A99" s="7"/>
      <c r="B99" s="7"/>
      <c r="C99" s="7"/>
      <c r="D99" s="7"/>
      <c r="E99" s="7"/>
      <c r="F99" s="7"/>
      <c r="G99" s="7"/>
      <c r="H99" s="7"/>
      <c r="I99" s="7"/>
      <c r="J99" s="7"/>
      <c r="K99" s="7"/>
    </row>
    <row r="100">
      <c r="A100" s="7"/>
      <c r="B100" s="7"/>
      <c r="C100" s="7"/>
      <c r="D100" s="7"/>
      <c r="E100" s="7"/>
      <c r="F100" s="7"/>
      <c r="G100" s="7"/>
      <c r="H100" s="7"/>
      <c r="I100" s="7"/>
      <c r="J100" s="7"/>
      <c r="K100" s="7"/>
    </row>
    <row r="101">
      <c r="A101" s="7"/>
      <c r="B101" s="7"/>
      <c r="C101" s="7"/>
      <c r="D101" s="7"/>
      <c r="E101" s="7"/>
      <c r="F101" s="7"/>
      <c r="G101" s="7"/>
      <c r="H101" s="7"/>
      <c r="I101" s="7"/>
      <c r="J101" s="7"/>
      <c r="K101" s="7"/>
    </row>
    <row r="102">
      <c r="A102" s="7"/>
      <c r="B102" s="7"/>
      <c r="C102" s="7"/>
      <c r="D102" s="7"/>
      <c r="E102" s="7"/>
      <c r="F102" s="7"/>
      <c r="G102" s="7"/>
      <c r="H102" s="7"/>
      <c r="I102" s="7"/>
      <c r="J102" s="7"/>
      <c r="K102" s="7"/>
    </row>
    <row r="103">
      <c r="A103" s="7"/>
      <c r="B103" s="7"/>
      <c r="C103" s="7"/>
      <c r="D103" s="7"/>
      <c r="E103" s="7"/>
      <c r="F103" s="7"/>
      <c r="G103" s="7"/>
      <c r="H103" s="7"/>
      <c r="I103" s="7"/>
      <c r="J103" s="7"/>
      <c r="K103" s="7"/>
    </row>
    <row r="104">
      <c r="A104" s="7"/>
      <c r="B104" s="7"/>
      <c r="C104" s="7"/>
      <c r="D104" s="7"/>
      <c r="E104" s="7"/>
      <c r="F104" s="7"/>
      <c r="G104" s="7"/>
      <c r="H104" s="7"/>
      <c r="I104" s="7"/>
      <c r="J104" s="7"/>
      <c r="K104" s="7"/>
    </row>
    <row r="105">
      <c r="A105" s="7"/>
      <c r="B105" s="7"/>
      <c r="C105" s="7"/>
      <c r="D105" s="7"/>
      <c r="E105" s="7"/>
      <c r="F105" s="7"/>
      <c r="G105" s="7"/>
      <c r="H105" s="7"/>
      <c r="I105" s="7"/>
      <c r="J105" s="7"/>
      <c r="K105" s="7"/>
    </row>
    <row r="106">
      <c r="A106" s="7"/>
      <c r="B106" s="7"/>
      <c r="C106" s="7"/>
      <c r="D106" s="7"/>
      <c r="E106" s="7"/>
      <c r="F106" s="7"/>
      <c r="G106" s="7"/>
      <c r="H106" s="7"/>
      <c r="I106" s="7"/>
      <c r="J106" s="7"/>
      <c r="K106" s="7"/>
    </row>
    <row r="107">
      <c r="A107" s="7"/>
      <c r="B107" s="7"/>
      <c r="C107" s="7"/>
      <c r="D107" s="7"/>
      <c r="E107" s="7"/>
      <c r="F107" s="7"/>
      <c r="G107" s="7"/>
      <c r="H107" s="7"/>
      <c r="I107" s="7"/>
      <c r="J107" s="7"/>
      <c r="K107" s="7"/>
    </row>
    <row r="108">
      <c r="A108" s="7"/>
      <c r="B108" s="7"/>
      <c r="C108" s="7"/>
      <c r="D108" s="7"/>
      <c r="E108" s="7"/>
      <c r="F108" s="7"/>
      <c r="G108" s="7"/>
      <c r="H108" s="7"/>
      <c r="I108" s="7"/>
      <c r="J108" s="7"/>
      <c r="K108" s="7"/>
    </row>
    <row r="109">
      <c r="A109" s="7"/>
      <c r="B109" s="7"/>
      <c r="C109" s="7"/>
      <c r="D109" s="7"/>
      <c r="E109" s="7"/>
      <c r="F109" s="7"/>
      <c r="G109" s="7"/>
      <c r="H109" s="7"/>
      <c r="I109" s="7"/>
      <c r="J109" s="7"/>
      <c r="K109" s="7"/>
    </row>
    <row r="110">
      <c r="A110" s="7"/>
      <c r="B110" s="7"/>
      <c r="C110" s="7"/>
      <c r="D110" s="7"/>
      <c r="E110" s="7"/>
      <c r="F110" s="7"/>
      <c r="G110" s="7"/>
      <c r="H110" s="7"/>
      <c r="I110" s="7"/>
      <c r="J110" s="7"/>
      <c r="K110" s="7"/>
    </row>
    <row r="111">
      <c r="A111" s="7"/>
      <c r="B111" s="7"/>
      <c r="C111" s="7"/>
      <c r="D111" s="7"/>
      <c r="E111" s="7"/>
      <c r="F111" s="7"/>
      <c r="G111" s="7"/>
      <c r="H111" s="7"/>
      <c r="I111" s="7"/>
      <c r="J111" s="7"/>
      <c r="K111" s="7"/>
    </row>
    <row r="112">
      <c r="A112" s="7"/>
      <c r="B112" s="7"/>
      <c r="C112" s="7"/>
      <c r="D112" s="7"/>
      <c r="E112" s="7"/>
      <c r="F112" s="7"/>
      <c r="G112" s="7"/>
      <c r="H112" s="7"/>
      <c r="I112" s="7"/>
      <c r="J112" s="7"/>
      <c r="K112" s="7"/>
    </row>
    <row r="113">
      <c r="A113" s="7"/>
      <c r="B113" s="7"/>
      <c r="C113" s="7"/>
      <c r="D113" s="7"/>
      <c r="E113" s="7"/>
      <c r="F113" s="7"/>
      <c r="G113" s="7"/>
      <c r="H113" s="7"/>
      <c r="I113" s="7"/>
      <c r="J113" s="7"/>
      <c r="K113" s="7"/>
    </row>
    <row r="114">
      <c r="A114" s="7"/>
      <c r="B114" s="7"/>
      <c r="C114" s="7"/>
      <c r="D114" s="7"/>
      <c r="E114" s="7"/>
      <c r="F114" s="7"/>
      <c r="G114" s="7"/>
      <c r="H114" s="7"/>
      <c r="I114" s="7"/>
      <c r="J114" s="7"/>
      <c r="K114" s="7"/>
    </row>
    <row r="115">
      <c r="A115" s="7"/>
      <c r="B115" s="7"/>
      <c r="C115" s="7"/>
      <c r="D115" s="7"/>
      <c r="E115" s="7"/>
      <c r="F115" s="7"/>
      <c r="G115" s="7"/>
      <c r="H115" s="7"/>
      <c r="I115" s="7"/>
      <c r="J115" s="7"/>
      <c r="K115" s="7"/>
    </row>
    <row r="116">
      <c r="A116" s="7"/>
      <c r="B116" s="7"/>
      <c r="C116" s="7"/>
      <c r="D116" s="7"/>
      <c r="E116" s="7"/>
      <c r="F116" s="7"/>
      <c r="G116" s="7"/>
      <c r="H116" s="7"/>
      <c r="I116" s="7"/>
      <c r="J116" s="7"/>
      <c r="K116" s="7"/>
    </row>
    <row r="117">
      <c r="A117" s="7"/>
      <c r="B117" s="7"/>
      <c r="C117" s="7"/>
      <c r="D117" s="7"/>
      <c r="E117" s="7"/>
      <c r="F117" s="7"/>
      <c r="G117" s="7"/>
      <c r="H117" s="7"/>
      <c r="I117" s="7"/>
      <c r="J117" s="7"/>
      <c r="K117" s="7"/>
    </row>
    <row r="118">
      <c r="A118" s="7"/>
      <c r="B118" s="7"/>
      <c r="C118" s="7"/>
      <c r="D118" s="7"/>
      <c r="E118" s="7"/>
      <c r="F118" s="7"/>
      <c r="G118" s="7"/>
      <c r="H118" s="7"/>
      <c r="I118" s="7"/>
      <c r="J118" s="7"/>
      <c r="K118" s="7"/>
    </row>
    <row r="119">
      <c r="A119" s="7"/>
      <c r="B119" s="7"/>
      <c r="C119" s="7"/>
      <c r="D119" s="7"/>
      <c r="E119" s="7"/>
      <c r="F119" s="7"/>
      <c r="G119" s="7"/>
      <c r="H119" s="7"/>
      <c r="I119" s="7"/>
      <c r="J119" s="7"/>
      <c r="K119" s="7"/>
    </row>
    <row r="120">
      <c r="A120" s="7"/>
      <c r="B120" s="7"/>
      <c r="C120" s="7"/>
      <c r="D120" s="7"/>
      <c r="E120" s="7"/>
      <c r="F120" s="7"/>
      <c r="G120" s="7"/>
      <c r="H120" s="7"/>
      <c r="I120" s="7"/>
      <c r="J120" s="7"/>
      <c r="K120" s="7"/>
    </row>
    <row r="121">
      <c r="A121" s="7"/>
      <c r="B121" s="7"/>
      <c r="C121" s="7"/>
      <c r="D121" s="7"/>
      <c r="E121" s="7"/>
      <c r="F121" s="7"/>
      <c r="G121" s="7"/>
      <c r="H121" s="7"/>
      <c r="I121" s="7"/>
      <c r="J121" s="7"/>
      <c r="K121" s="7"/>
    </row>
    <row r="122">
      <c r="A122" s="7"/>
      <c r="B122" s="7"/>
      <c r="C122" s="7"/>
      <c r="D122" s="7"/>
      <c r="E122" s="7"/>
      <c r="F122" s="7"/>
      <c r="G122" s="7"/>
      <c r="H122" s="7"/>
      <c r="I122" s="7"/>
      <c r="J122" s="7"/>
      <c r="K122" s="7"/>
    </row>
    <row r="123">
      <c r="A123" s="7"/>
      <c r="B123" s="7"/>
      <c r="C123" s="7"/>
      <c r="D123" s="7"/>
      <c r="E123" s="7"/>
      <c r="F123" s="7"/>
      <c r="G123" s="7"/>
      <c r="H123" s="7"/>
      <c r="I123" s="7"/>
      <c r="J123" s="7"/>
      <c r="K123" s="7"/>
    </row>
    <row r="124">
      <c r="A124" s="7"/>
      <c r="B124" s="7"/>
      <c r="C124" s="7"/>
      <c r="D124" s="7"/>
      <c r="E124" s="7"/>
      <c r="F124" s="7"/>
      <c r="G124" s="7"/>
      <c r="H124" s="7"/>
      <c r="I124" s="7"/>
      <c r="J124" s="7"/>
      <c r="K124" s="7"/>
    </row>
    <row r="125">
      <c r="A125" s="7"/>
      <c r="B125" s="7"/>
      <c r="C125" s="7"/>
      <c r="D125" s="7"/>
      <c r="E125" s="7"/>
      <c r="F125" s="7"/>
      <c r="G125" s="7"/>
      <c r="H125" s="7"/>
      <c r="I125" s="7"/>
      <c r="J125" s="7"/>
      <c r="K125" s="7"/>
    </row>
    <row r="126">
      <c r="A126" s="7"/>
      <c r="B126" s="7"/>
      <c r="C126" s="7"/>
      <c r="D126" s="7"/>
      <c r="E126" s="7"/>
      <c r="F126" s="7"/>
      <c r="G126" s="7"/>
      <c r="H126" s="7"/>
      <c r="I126" s="7"/>
      <c r="J126" s="7"/>
      <c r="K126" s="7"/>
    </row>
    <row r="127">
      <c r="A127" s="7"/>
      <c r="B127" s="7"/>
      <c r="C127" s="7"/>
      <c r="D127" s="7"/>
      <c r="E127" s="7"/>
      <c r="F127" s="7"/>
      <c r="G127" s="7"/>
      <c r="H127" s="7"/>
      <c r="I127" s="7"/>
      <c r="J127" s="7"/>
      <c r="K127" s="7"/>
    </row>
    <row r="128">
      <c r="A128" s="7"/>
      <c r="B128" s="7"/>
      <c r="C128" s="7"/>
      <c r="D128" s="7"/>
      <c r="E128" s="7"/>
      <c r="F128" s="7"/>
      <c r="G128" s="7"/>
      <c r="H128" s="7"/>
      <c r="I128" s="7"/>
      <c r="J128" s="7"/>
      <c r="K128" s="7"/>
    </row>
    <row r="129">
      <c r="A129" s="7"/>
      <c r="B129" s="7"/>
      <c r="C129" s="7"/>
      <c r="D129" s="7"/>
      <c r="E129" s="7"/>
      <c r="F129" s="7"/>
      <c r="G129" s="7"/>
      <c r="H129" s="7"/>
      <c r="I129" s="7"/>
      <c r="J129" s="7"/>
      <c r="K129" s="7"/>
    </row>
    <row r="130">
      <c r="A130" s="7"/>
      <c r="B130" s="7"/>
      <c r="C130" s="7"/>
      <c r="D130" s="7"/>
      <c r="E130" s="7"/>
      <c r="F130" s="7"/>
      <c r="G130" s="7"/>
      <c r="H130" s="7"/>
      <c r="I130" s="7"/>
      <c r="J130" s="7"/>
      <c r="K130" s="7"/>
    </row>
    <row r="131">
      <c r="A131" s="7"/>
      <c r="B131" s="7"/>
      <c r="C131" s="7"/>
      <c r="D131" s="7"/>
      <c r="E131" s="7"/>
      <c r="F131" s="7"/>
      <c r="G131" s="7"/>
      <c r="H131" s="7"/>
      <c r="I131" s="7"/>
      <c r="J131" s="7"/>
      <c r="K131" s="7"/>
    </row>
    <row r="132">
      <c r="A132" s="7"/>
      <c r="B132" s="7"/>
      <c r="C132" s="7"/>
      <c r="D132" s="7"/>
      <c r="E132" s="7"/>
      <c r="F132" s="7"/>
      <c r="G132" s="7"/>
      <c r="H132" s="7"/>
      <c r="I132" s="7"/>
      <c r="J132" s="7"/>
      <c r="K132" s="7"/>
    </row>
    <row r="133">
      <c r="A133" s="7"/>
      <c r="B133" s="7"/>
      <c r="C133" s="7"/>
      <c r="D133" s="7"/>
      <c r="E133" s="7"/>
      <c r="F133" s="7"/>
      <c r="G133" s="7"/>
      <c r="H133" s="7"/>
      <c r="I133" s="7"/>
      <c r="J133" s="7"/>
      <c r="K133" s="7"/>
    </row>
    <row r="134">
      <c r="A134" s="7"/>
      <c r="B134" s="7"/>
      <c r="C134" s="7"/>
      <c r="D134" s="7"/>
      <c r="E134" s="7"/>
      <c r="F134" s="7"/>
      <c r="G134" s="7"/>
      <c r="H134" s="7"/>
      <c r="I134" s="7"/>
      <c r="J134" s="7"/>
      <c r="K134" s="7"/>
    </row>
    <row r="135">
      <c r="A135" s="7"/>
      <c r="B135" s="7"/>
      <c r="C135" s="7"/>
      <c r="D135" s="7"/>
      <c r="E135" s="7"/>
      <c r="F135" s="7"/>
      <c r="G135" s="7"/>
      <c r="H135" s="7"/>
      <c r="I135" s="7"/>
      <c r="J135" s="7"/>
      <c r="K135" s="7"/>
    </row>
    <row r="136">
      <c r="A136" s="7"/>
      <c r="B136" s="7"/>
      <c r="C136" s="7"/>
      <c r="D136" s="7"/>
      <c r="E136" s="7"/>
      <c r="F136" s="7"/>
      <c r="G136" s="7"/>
      <c r="H136" s="7"/>
      <c r="I136" s="7"/>
      <c r="J136" s="7"/>
      <c r="K136" s="7"/>
    </row>
    <row r="137">
      <c r="A137" s="7"/>
      <c r="B137" s="7"/>
      <c r="C137" s="7"/>
      <c r="D137" s="7"/>
      <c r="E137" s="7"/>
      <c r="F137" s="7"/>
      <c r="G137" s="7"/>
      <c r="H137" s="7"/>
      <c r="I137" s="7"/>
      <c r="J137" s="7"/>
      <c r="K137" s="7"/>
    </row>
    <row r="138">
      <c r="A138" s="7"/>
      <c r="B138" s="7"/>
      <c r="C138" s="7"/>
      <c r="D138" s="7"/>
      <c r="E138" s="7"/>
      <c r="F138" s="7"/>
      <c r="G138" s="7"/>
      <c r="H138" s="7"/>
      <c r="I138" s="7"/>
      <c r="J138" s="7"/>
      <c r="K138" s="7"/>
    </row>
    <row r="139">
      <c r="A139" s="7"/>
      <c r="B139" s="7"/>
      <c r="C139" s="7"/>
      <c r="D139" s="7"/>
      <c r="E139" s="7"/>
      <c r="F139" s="7"/>
      <c r="G139" s="7"/>
      <c r="H139" s="7"/>
      <c r="I139" s="7"/>
      <c r="J139" s="7"/>
      <c r="K139" s="7"/>
    </row>
    <row r="140">
      <c r="A140" s="7"/>
      <c r="B140" s="7"/>
      <c r="C140" s="7"/>
      <c r="D140" s="7"/>
      <c r="E140" s="7"/>
      <c r="F140" s="7"/>
      <c r="G140" s="7"/>
      <c r="H140" s="7"/>
      <c r="I140" s="7"/>
      <c r="J140" s="7"/>
      <c r="K140" s="7"/>
    </row>
    <row r="141">
      <c r="A141" s="7"/>
      <c r="B141" s="7"/>
      <c r="C141" s="7"/>
      <c r="D141" s="7"/>
      <c r="E141" s="7"/>
      <c r="F141" s="7"/>
      <c r="G141" s="7"/>
      <c r="H141" s="7"/>
      <c r="I141" s="7"/>
      <c r="J141" s="7"/>
      <c r="K141" s="7"/>
    </row>
    <row r="142">
      <c r="A142" s="7"/>
      <c r="B142" s="7"/>
      <c r="C142" s="7"/>
      <c r="D142" s="7"/>
      <c r="E142" s="7"/>
      <c r="F142" s="7"/>
      <c r="G142" s="7"/>
      <c r="H142" s="7"/>
      <c r="I142" s="7"/>
      <c r="J142" s="7"/>
      <c r="K142" s="7"/>
    </row>
    <row r="143">
      <c r="A143" s="7"/>
      <c r="B143" s="7"/>
      <c r="C143" s="7"/>
      <c r="D143" s="7"/>
      <c r="E143" s="7"/>
      <c r="F143" s="7"/>
      <c r="G143" s="7"/>
      <c r="H143" s="7"/>
      <c r="I143" s="7"/>
      <c r="J143" s="7"/>
      <c r="K143" s="7"/>
    </row>
    <row r="144">
      <c r="A144" s="7"/>
      <c r="B144" s="7"/>
      <c r="C144" s="7"/>
      <c r="D144" s="7"/>
      <c r="E144" s="7"/>
      <c r="F144" s="7"/>
      <c r="G144" s="7"/>
      <c r="H144" s="7"/>
      <c r="I144" s="7"/>
      <c r="J144" s="7"/>
      <c r="K144" s="7"/>
    </row>
    <row r="145">
      <c r="A145" s="7"/>
      <c r="B145" s="7"/>
      <c r="C145" s="7"/>
      <c r="D145" s="7"/>
      <c r="E145" s="7"/>
      <c r="F145" s="7"/>
      <c r="G145" s="7"/>
      <c r="H145" s="7"/>
      <c r="I145" s="7"/>
      <c r="J145" s="7"/>
      <c r="K145" s="7"/>
    </row>
    <row r="146">
      <c r="A146" s="7"/>
      <c r="B146" s="7"/>
      <c r="C146" s="7"/>
      <c r="D146" s="7"/>
      <c r="E146" s="7"/>
      <c r="F146" s="7"/>
      <c r="G146" s="7"/>
      <c r="H146" s="7"/>
      <c r="I146" s="7"/>
      <c r="J146" s="7"/>
      <c r="K146" s="7"/>
    </row>
    <row r="147">
      <c r="A147" s="7"/>
      <c r="B147" s="7"/>
      <c r="C147" s="7"/>
      <c r="D147" s="7"/>
      <c r="E147" s="7"/>
      <c r="F147" s="7"/>
      <c r="G147" s="7"/>
      <c r="H147" s="7"/>
      <c r="I147" s="7"/>
      <c r="J147" s="7"/>
      <c r="K147" s="7"/>
    </row>
    <row r="148">
      <c r="A148" s="7"/>
      <c r="B148" s="7"/>
      <c r="C148" s="7"/>
      <c r="D148" s="7"/>
      <c r="E148" s="7"/>
      <c r="F148" s="7"/>
      <c r="G148" s="7"/>
      <c r="H148" s="7"/>
      <c r="I148" s="7"/>
      <c r="J148" s="7"/>
      <c r="K148" s="7"/>
    </row>
    <row r="149">
      <c r="A149" s="7"/>
      <c r="B149" s="7"/>
      <c r="C149" s="7"/>
      <c r="D149" s="7"/>
      <c r="E149" s="7"/>
      <c r="F149" s="7"/>
      <c r="G149" s="7"/>
      <c r="H149" s="7"/>
      <c r="I149" s="7"/>
      <c r="J149" s="7"/>
      <c r="K149" s="7"/>
    </row>
    <row r="150">
      <c r="A150" s="7"/>
      <c r="B150" s="7"/>
      <c r="C150" s="7"/>
      <c r="D150" s="7"/>
      <c r="E150" s="7"/>
      <c r="F150" s="7"/>
      <c r="G150" s="7"/>
      <c r="H150" s="7"/>
      <c r="I150" s="7"/>
      <c r="J150" s="7"/>
      <c r="K150" s="7"/>
    </row>
    <row r="151">
      <c r="A151" s="7"/>
      <c r="B151" s="7"/>
      <c r="C151" s="7"/>
      <c r="D151" s="7"/>
      <c r="E151" s="7"/>
      <c r="F151" s="7"/>
      <c r="G151" s="7"/>
      <c r="H151" s="7"/>
      <c r="I151" s="7"/>
      <c r="J151" s="7"/>
      <c r="K151" s="7"/>
    </row>
    <row r="152">
      <c r="A152" s="7"/>
      <c r="B152" s="7"/>
      <c r="C152" s="7"/>
      <c r="D152" s="7"/>
      <c r="E152" s="7"/>
      <c r="F152" s="7"/>
      <c r="G152" s="7"/>
      <c r="H152" s="7"/>
      <c r="I152" s="7"/>
      <c r="J152" s="7"/>
      <c r="K152" s="7"/>
    </row>
    <row r="153">
      <c r="A153" s="7"/>
      <c r="B153" s="7"/>
      <c r="C153" s="7"/>
      <c r="D153" s="7"/>
      <c r="E153" s="7"/>
      <c r="F153" s="7"/>
      <c r="G153" s="7"/>
      <c r="H153" s="7"/>
      <c r="I153" s="7"/>
      <c r="J153" s="7"/>
      <c r="K153" s="7"/>
    </row>
    <row r="154">
      <c r="A154" s="7"/>
      <c r="B154" s="7"/>
      <c r="C154" s="7"/>
      <c r="D154" s="7"/>
      <c r="E154" s="7"/>
      <c r="F154" s="7"/>
      <c r="G154" s="7"/>
      <c r="H154" s="7"/>
      <c r="I154" s="7"/>
      <c r="J154" s="7"/>
      <c r="K154" s="7"/>
    </row>
    <row r="155">
      <c r="A155" s="7"/>
      <c r="B155" s="7"/>
      <c r="C155" s="7"/>
      <c r="D155" s="7"/>
      <c r="E155" s="7"/>
      <c r="F155" s="7"/>
      <c r="G155" s="7"/>
      <c r="H155" s="7"/>
      <c r="I155" s="7"/>
      <c r="J155" s="7"/>
      <c r="K155" s="7"/>
    </row>
    <row r="156">
      <c r="A156" s="7"/>
      <c r="B156" s="7"/>
      <c r="C156" s="7"/>
      <c r="D156" s="7"/>
      <c r="E156" s="7"/>
      <c r="F156" s="7"/>
      <c r="G156" s="7"/>
      <c r="H156" s="7"/>
      <c r="I156" s="7"/>
      <c r="J156" s="7"/>
      <c r="K156" s="7"/>
    </row>
    <row r="157">
      <c r="A157" s="7"/>
      <c r="B157" s="7"/>
      <c r="C157" s="7"/>
      <c r="D157" s="7"/>
      <c r="E157" s="7"/>
      <c r="F157" s="7"/>
      <c r="G157" s="7"/>
      <c r="H157" s="7"/>
      <c r="I157" s="7"/>
      <c r="J157" s="7"/>
      <c r="K157" s="7"/>
    </row>
    <row r="158">
      <c r="A158" s="7"/>
      <c r="B158" s="7"/>
      <c r="C158" s="7"/>
      <c r="D158" s="7"/>
      <c r="E158" s="7"/>
      <c r="F158" s="7"/>
      <c r="G158" s="7"/>
      <c r="H158" s="7"/>
      <c r="I158" s="7"/>
      <c r="J158" s="7"/>
      <c r="K158" s="7"/>
    </row>
    <row r="159">
      <c r="A159" s="7"/>
      <c r="B159" s="7"/>
      <c r="C159" s="7"/>
      <c r="D159" s="7"/>
      <c r="E159" s="7"/>
      <c r="F159" s="7"/>
      <c r="G159" s="7"/>
      <c r="H159" s="7"/>
      <c r="I159" s="7"/>
      <c r="J159" s="7"/>
      <c r="K159" s="7"/>
    </row>
    <row r="160">
      <c r="A160" s="7"/>
      <c r="B160" s="7"/>
      <c r="C160" s="7"/>
      <c r="D160" s="7"/>
      <c r="E160" s="7"/>
      <c r="F160" s="7"/>
      <c r="G160" s="7"/>
      <c r="H160" s="7"/>
      <c r="I160" s="7"/>
      <c r="J160" s="7"/>
      <c r="K160" s="7"/>
    </row>
    <row r="161">
      <c r="A161" s="7"/>
      <c r="B161" s="7"/>
      <c r="C161" s="7"/>
      <c r="D161" s="7"/>
      <c r="E161" s="7"/>
      <c r="F161" s="7"/>
      <c r="G161" s="7"/>
      <c r="H161" s="7"/>
      <c r="I161" s="7"/>
      <c r="J161" s="7"/>
      <c r="K161" s="7"/>
    </row>
    <row r="162">
      <c r="A162" s="7"/>
      <c r="B162" s="7"/>
      <c r="C162" s="7"/>
      <c r="D162" s="7"/>
      <c r="E162" s="7"/>
      <c r="F162" s="7"/>
      <c r="G162" s="7"/>
      <c r="H162" s="7"/>
      <c r="I162" s="7"/>
      <c r="J162" s="7"/>
      <c r="K162" s="7"/>
    </row>
    <row r="163">
      <c r="A163" s="7"/>
      <c r="B163" s="7"/>
      <c r="C163" s="7"/>
      <c r="D163" s="7"/>
      <c r="E163" s="7"/>
      <c r="F163" s="7"/>
      <c r="G163" s="7"/>
      <c r="H163" s="7"/>
      <c r="I163" s="7"/>
      <c r="J163" s="7"/>
      <c r="K163" s="7"/>
    </row>
    <row r="164">
      <c r="A164" s="7"/>
      <c r="B164" s="7"/>
      <c r="C164" s="7"/>
      <c r="D164" s="7"/>
      <c r="E164" s="7"/>
      <c r="F164" s="7"/>
      <c r="G164" s="7"/>
      <c r="H164" s="7"/>
      <c r="I164" s="7"/>
      <c r="J164" s="7"/>
      <c r="K164" s="7"/>
    </row>
    <row r="165">
      <c r="A165" s="7"/>
      <c r="B165" s="7"/>
      <c r="C165" s="7"/>
      <c r="D165" s="7"/>
      <c r="E165" s="7"/>
      <c r="F165" s="7"/>
      <c r="G165" s="7"/>
      <c r="H165" s="7"/>
      <c r="I165" s="7"/>
      <c r="J165" s="7"/>
      <c r="K165" s="7"/>
    </row>
    <row r="166">
      <c r="A166" s="7"/>
      <c r="B166" s="7"/>
      <c r="C166" s="7"/>
      <c r="D166" s="7"/>
      <c r="E166" s="7"/>
      <c r="F166" s="7"/>
      <c r="G166" s="7"/>
      <c r="H166" s="7"/>
      <c r="I166" s="7"/>
      <c r="J166" s="7"/>
      <c r="K166" s="7"/>
    </row>
    <row r="167">
      <c r="A167" s="7"/>
      <c r="B167" s="7"/>
      <c r="C167" s="7"/>
      <c r="D167" s="7"/>
      <c r="E167" s="7"/>
      <c r="F167" s="7"/>
      <c r="G167" s="7"/>
      <c r="H167" s="7"/>
      <c r="I167" s="7"/>
      <c r="J167" s="7"/>
      <c r="K167" s="7"/>
    </row>
    <row r="168">
      <c r="A168" s="7"/>
      <c r="B168" s="7"/>
      <c r="C168" s="7"/>
      <c r="D168" s="7"/>
      <c r="E168" s="7"/>
      <c r="F168" s="7"/>
      <c r="G168" s="7"/>
      <c r="H168" s="7"/>
      <c r="I168" s="7"/>
      <c r="J168" s="7"/>
      <c r="K168" s="7"/>
    </row>
    <row r="169">
      <c r="A169" s="7"/>
      <c r="B169" s="7"/>
      <c r="C169" s="7"/>
      <c r="D169" s="7"/>
      <c r="E169" s="7"/>
      <c r="F169" s="7"/>
      <c r="G169" s="7"/>
      <c r="H169" s="7"/>
      <c r="I169" s="7"/>
      <c r="J169" s="7"/>
      <c r="K169" s="7"/>
    </row>
    <row r="170">
      <c r="A170" s="7"/>
      <c r="B170" s="7"/>
      <c r="C170" s="7"/>
      <c r="D170" s="7"/>
      <c r="E170" s="7"/>
      <c r="F170" s="7"/>
      <c r="G170" s="7"/>
      <c r="H170" s="7"/>
      <c r="I170" s="7"/>
      <c r="J170" s="7"/>
      <c r="K170" s="7"/>
    </row>
    <row r="171">
      <c r="A171" s="7"/>
      <c r="B171" s="7"/>
      <c r="C171" s="7"/>
      <c r="D171" s="7"/>
      <c r="E171" s="7"/>
      <c r="F171" s="7"/>
      <c r="G171" s="7"/>
      <c r="H171" s="7"/>
      <c r="I171" s="7"/>
      <c r="J171" s="7"/>
      <c r="K171" s="7"/>
    </row>
    <row r="172">
      <c r="A172" s="7"/>
      <c r="B172" s="7"/>
      <c r="C172" s="7"/>
      <c r="D172" s="7"/>
      <c r="E172" s="7"/>
      <c r="F172" s="7"/>
      <c r="G172" s="7"/>
      <c r="H172" s="7"/>
      <c r="I172" s="7"/>
      <c r="J172" s="7"/>
      <c r="K172" s="7"/>
    </row>
    <row r="173">
      <c r="A173" s="7"/>
      <c r="B173" s="7"/>
      <c r="C173" s="7"/>
      <c r="D173" s="7"/>
      <c r="E173" s="7"/>
      <c r="F173" s="7"/>
      <c r="G173" s="7"/>
      <c r="H173" s="7"/>
      <c r="I173" s="7"/>
      <c r="J173" s="7"/>
      <c r="K173" s="7"/>
    </row>
    <row r="174">
      <c r="A174" s="7"/>
      <c r="B174" s="7"/>
      <c r="C174" s="7"/>
      <c r="D174" s="7"/>
      <c r="E174" s="7"/>
      <c r="F174" s="7"/>
      <c r="G174" s="7"/>
      <c r="H174" s="7"/>
      <c r="I174" s="7"/>
      <c r="J174" s="7"/>
      <c r="K174" s="7"/>
    </row>
    <row r="175">
      <c r="A175" s="7"/>
      <c r="B175" s="7"/>
      <c r="C175" s="7"/>
      <c r="D175" s="7"/>
      <c r="E175" s="7"/>
      <c r="F175" s="7"/>
      <c r="G175" s="7"/>
      <c r="H175" s="7"/>
      <c r="I175" s="7"/>
      <c r="J175" s="7"/>
      <c r="K175" s="7"/>
    </row>
    <row r="176">
      <c r="A176" s="7"/>
      <c r="B176" s="7"/>
      <c r="C176" s="7"/>
      <c r="D176" s="7"/>
      <c r="E176" s="7"/>
      <c r="F176" s="7"/>
      <c r="G176" s="7"/>
      <c r="H176" s="7"/>
      <c r="I176" s="7"/>
      <c r="J176" s="7"/>
      <c r="K176" s="7"/>
    </row>
    <row r="177">
      <c r="A177" s="7"/>
      <c r="B177" s="7"/>
      <c r="C177" s="7"/>
      <c r="D177" s="7"/>
      <c r="E177" s="7"/>
      <c r="F177" s="7"/>
      <c r="G177" s="7"/>
      <c r="H177" s="7"/>
      <c r="I177" s="7"/>
      <c r="J177" s="7"/>
      <c r="K177" s="7"/>
    </row>
    <row r="178">
      <c r="A178" s="7"/>
      <c r="B178" s="7"/>
      <c r="C178" s="7"/>
      <c r="D178" s="7"/>
      <c r="E178" s="7"/>
      <c r="F178" s="7"/>
      <c r="G178" s="7"/>
      <c r="H178" s="7"/>
      <c r="I178" s="7"/>
      <c r="J178" s="7"/>
      <c r="K178" s="7"/>
    </row>
    <row r="179">
      <c r="A179" s="7"/>
      <c r="B179" s="7"/>
      <c r="C179" s="7"/>
      <c r="D179" s="7"/>
      <c r="E179" s="7"/>
      <c r="F179" s="7"/>
      <c r="G179" s="7"/>
      <c r="H179" s="7"/>
      <c r="I179" s="7"/>
      <c r="J179" s="7"/>
      <c r="K179" s="7"/>
    </row>
    <row r="180">
      <c r="A180" s="7"/>
      <c r="B180" s="7"/>
      <c r="C180" s="7"/>
      <c r="D180" s="7"/>
      <c r="E180" s="7"/>
      <c r="F180" s="7"/>
      <c r="G180" s="7"/>
      <c r="H180" s="7"/>
      <c r="I180" s="7"/>
      <c r="J180" s="7"/>
      <c r="K180" s="7"/>
    </row>
    <row r="181">
      <c r="A181" s="7"/>
      <c r="B181" s="7"/>
      <c r="C181" s="7"/>
      <c r="D181" s="7"/>
      <c r="E181" s="7"/>
      <c r="F181" s="7"/>
      <c r="G181" s="7"/>
      <c r="H181" s="7"/>
      <c r="I181" s="7"/>
      <c r="J181" s="7"/>
      <c r="K181" s="7"/>
    </row>
    <row r="182">
      <c r="A182" s="7"/>
      <c r="B182" s="7"/>
      <c r="C182" s="7"/>
      <c r="D182" s="7"/>
      <c r="E182" s="7"/>
      <c r="F182" s="7"/>
      <c r="G182" s="7"/>
      <c r="H182" s="7"/>
      <c r="I182" s="7"/>
      <c r="J182" s="7"/>
      <c r="K182" s="7"/>
    </row>
    <row r="183">
      <c r="A183" s="7"/>
      <c r="B183" s="7"/>
      <c r="C183" s="7"/>
      <c r="D183" s="7"/>
      <c r="E183" s="7"/>
      <c r="F183" s="7"/>
      <c r="G183" s="7"/>
      <c r="H183" s="7"/>
      <c r="I183" s="7"/>
      <c r="J183" s="7"/>
      <c r="K183" s="7"/>
    </row>
    <row r="184">
      <c r="A184" s="7"/>
      <c r="B184" s="7"/>
      <c r="C184" s="7"/>
      <c r="D184" s="7"/>
      <c r="E184" s="7"/>
      <c r="F184" s="7"/>
      <c r="G184" s="7"/>
      <c r="H184" s="7"/>
      <c r="I184" s="7"/>
      <c r="J184" s="7"/>
      <c r="K184" s="7"/>
    </row>
    <row r="185">
      <c r="A185" s="7"/>
      <c r="B185" s="7"/>
      <c r="C185" s="7"/>
      <c r="D185" s="7"/>
      <c r="E185" s="7"/>
      <c r="F185" s="7"/>
      <c r="G185" s="7"/>
      <c r="H185" s="7"/>
      <c r="I185" s="7"/>
      <c r="J185" s="7"/>
      <c r="K185" s="7"/>
    </row>
    <row r="186">
      <c r="A186" s="7"/>
      <c r="B186" s="7"/>
      <c r="C186" s="7"/>
      <c r="D186" s="7"/>
      <c r="E186" s="7"/>
      <c r="F186" s="7"/>
      <c r="G186" s="7"/>
      <c r="H186" s="7"/>
      <c r="I186" s="7"/>
      <c r="J186" s="7"/>
      <c r="K186" s="7"/>
    </row>
    <row r="187">
      <c r="A187" s="7"/>
      <c r="B187" s="7"/>
      <c r="C187" s="7"/>
      <c r="D187" s="7"/>
      <c r="E187" s="7"/>
      <c r="F187" s="7"/>
      <c r="G187" s="7"/>
      <c r="H187" s="7"/>
      <c r="I187" s="7"/>
      <c r="J187" s="7"/>
      <c r="K187" s="7"/>
    </row>
    <row r="188">
      <c r="A188" s="7"/>
      <c r="B188" s="7"/>
      <c r="C188" s="7"/>
      <c r="D188" s="7"/>
      <c r="E188" s="7"/>
      <c r="F188" s="7"/>
      <c r="G188" s="7"/>
      <c r="H188" s="7"/>
      <c r="I188" s="7"/>
      <c r="J188" s="7"/>
      <c r="K188" s="7"/>
    </row>
    <row r="189">
      <c r="A189" s="7"/>
      <c r="B189" s="7"/>
      <c r="C189" s="7"/>
      <c r="D189" s="7"/>
      <c r="E189" s="7"/>
      <c r="F189" s="7"/>
      <c r="G189" s="7"/>
      <c r="H189" s="7"/>
      <c r="I189" s="7"/>
      <c r="J189" s="7"/>
      <c r="K189" s="7"/>
    </row>
    <row r="190">
      <c r="A190" s="7"/>
      <c r="B190" s="7"/>
      <c r="C190" s="7"/>
      <c r="D190" s="7"/>
      <c r="E190" s="7"/>
      <c r="F190" s="7"/>
      <c r="G190" s="7"/>
      <c r="H190" s="7"/>
      <c r="I190" s="7"/>
      <c r="J190" s="7"/>
      <c r="K190" s="7"/>
    </row>
    <row r="191">
      <c r="A191" s="7"/>
      <c r="B191" s="7"/>
      <c r="C191" s="7"/>
      <c r="D191" s="7"/>
      <c r="E191" s="7"/>
      <c r="F191" s="7"/>
      <c r="G191" s="7"/>
      <c r="H191" s="7"/>
      <c r="I191" s="7"/>
      <c r="J191" s="7"/>
      <c r="K191" s="7"/>
    </row>
    <row r="192">
      <c r="A192" s="7"/>
      <c r="B192" s="7"/>
      <c r="C192" s="7"/>
      <c r="D192" s="7"/>
      <c r="E192" s="7"/>
      <c r="F192" s="7"/>
      <c r="G192" s="7"/>
      <c r="H192" s="7"/>
      <c r="I192" s="7"/>
      <c r="J192" s="7"/>
      <c r="K192" s="7"/>
    </row>
    <row r="193">
      <c r="A193" s="7"/>
      <c r="B193" s="7"/>
      <c r="C193" s="7"/>
      <c r="D193" s="7"/>
      <c r="E193" s="7"/>
      <c r="F193" s="7"/>
      <c r="G193" s="7"/>
      <c r="H193" s="7"/>
      <c r="I193" s="7"/>
      <c r="J193" s="7"/>
      <c r="K193" s="7"/>
    </row>
    <row r="194">
      <c r="A194" s="7"/>
      <c r="B194" s="7"/>
      <c r="C194" s="7"/>
      <c r="D194" s="7"/>
      <c r="E194" s="7"/>
      <c r="F194" s="7"/>
      <c r="G194" s="7"/>
      <c r="H194" s="7"/>
      <c r="I194" s="7"/>
      <c r="J194" s="7"/>
      <c r="K194" s="7"/>
    </row>
    <row r="195">
      <c r="A195" s="7"/>
      <c r="B195" s="7"/>
      <c r="C195" s="7"/>
      <c r="D195" s="7"/>
      <c r="E195" s="7"/>
      <c r="F195" s="7"/>
      <c r="G195" s="7"/>
      <c r="H195" s="7"/>
      <c r="I195" s="7"/>
      <c r="J195" s="7"/>
      <c r="K195" s="7"/>
    </row>
    <row r="196">
      <c r="A196" s="7"/>
      <c r="B196" s="7"/>
      <c r="C196" s="7"/>
      <c r="D196" s="7"/>
      <c r="E196" s="7"/>
      <c r="F196" s="7"/>
      <c r="G196" s="7"/>
      <c r="H196" s="7"/>
      <c r="I196" s="7"/>
      <c r="J196" s="7"/>
      <c r="K196" s="7"/>
    </row>
    <row r="197">
      <c r="A197" s="7"/>
      <c r="B197" s="7"/>
      <c r="C197" s="7"/>
      <c r="D197" s="7"/>
      <c r="E197" s="7"/>
      <c r="F197" s="7"/>
      <c r="G197" s="7"/>
      <c r="H197" s="7"/>
      <c r="I197" s="7"/>
      <c r="J197" s="7"/>
      <c r="K197" s="7"/>
    </row>
    <row r="198">
      <c r="A198" s="7"/>
      <c r="B198" s="7"/>
      <c r="C198" s="7"/>
      <c r="D198" s="7"/>
      <c r="E198" s="7"/>
      <c r="F198" s="7"/>
      <c r="G198" s="7"/>
      <c r="H198" s="7"/>
      <c r="I198" s="7"/>
      <c r="J198" s="7"/>
      <c r="K198" s="7"/>
    </row>
    <row r="199">
      <c r="A199" s="7"/>
      <c r="B199" s="7"/>
      <c r="C199" s="7"/>
      <c r="D199" s="7"/>
      <c r="E199" s="7"/>
      <c r="F199" s="7"/>
      <c r="G199" s="7"/>
      <c r="H199" s="7"/>
      <c r="I199" s="7"/>
      <c r="J199" s="7"/>
      <c r="K199" s="7"/>
    </row>
    <row r="200">
      <c r="A200" s="7"/>
      <c r="B200" s="7"/>
      <c r="C200" s="7"/>
      <c r="D200" s="7"/>
      <c r="E200" s="7"/>
      <c r="F200" s="7"/>
      <c r="G200" s="7"/>
      <c r="H200" s="7"/>
      <c r="I200" s="7"/>
      <c r="J200" s="7"/>
      <c r="K200" s="7"/>
    </row>
    <row r="201">
      <c r="A201" s="7"/>
      <c r="B201" s="7"/>
      <c r="C201" s="7"/>
      <c r="D201" s="7"/>
      <c r="E201" s="7"/>
      <c r="F201" s="7"/>
      <c r="G201" s="7"/>
      <c r="H201" s="7"/>
      <c r="I201" s="7"/>
      <c r="J201" s="7"/>
      <c r="K201" s="7"/>
    </row>
    <row r="202">
      <c r="A202" s="7"/>
      <c r="B202" s="7"/>
      <c r="C202" s="7"/>
      <c r="D202" s="7"/>
      <c r="E202" s="7"/>
      <c r="F202" s="7"/>
      <c r="G202" s="7"/>
      <c r="H202" s="7"/>
      <c r="I202" s="7"/>
      <c r="J202" s="7"/>
      <c r="K202" s="7"/>
    </row>
    <row r="203">
      <c r="A203" s="7"/>
      <c r="B203" s="7"/>
      <c r="C203" s="7"/>
      <c r="D203" s="7"/>
      <c r="E203" s="7"/>
      <c r="F203" s="7"/>
      <c r="G203" s="7"/>
      <c r="H203" s="7"/>
      <c r="I203" s="7"/>
      <c r="J203" s="7"/>
      <c r="K203" s="7"/>
    </row>
    <row r="204">
      <c r="A204" s="7"/>
      <c r="B204" s="7"/>
      <c r="C204" s="7"/>
      <c r="D204" s="7"/>
      <c r="E204" s="7"/>
      <c r="F204" s="7"/>
      <c r="G204" s="7"/>
      <c r="H204" s="7"/>
      <c r="I204" s="7"/>
      <c r="J204" s="7"/>
      <c r="K204" s="7"/>
    </row>
    <row r="205">
      <c r="A205" s="7"/>
      <c r="B205" s="7"/>
      <c r="C205" s="7"/>
      <c r="D205" s="7"/>
      <c r="E205" s="7"/>
      <c r="F205" s="7"/>
      <c r="G205" s="7"/>
      <c r="H205" s="7"/>
      <c r="I205" s="7"/>
      <c r="J205" s="7"/>
      <c r="K205" s="7"/>
    </row>
    <row r="206">
      <c r="A206" s="7"/>
      <c r="B206" s="7"/>
      <c r="C206" s="7"/>
      <c r="D206" s="7"/>
      <c r="E206" s="7"/>
      <c r="F206" s="7"/>
      <c r="G206" s="7"/>
      <c r="H206" s="7"/>
      <c r="I206" s="7"/>
      <c r="J206" s="7"/>
      <c r="K206" s="7"/>
    </row>
    <row r="207">
      <c r="A207" s="7"/>
      <c r="B207" s="7"/>
      <c r="C207" s="7"/>
      <c r="D207" s="7"/>
      <c r="E207" s="7"/>
      <c r="F207" s="7"/>
      <c r="G207" s="7"/>
      <c r="H207" s="7"/>
      <c r="I207" s="7"/>
      <c r="J207" s="7"/>
      <c r="K207" s="7"/>
    </row>
    <row r="208">
      <c r="A208" s="7"/>
      <c r="B208" s="7"/>
      <c r="C208" s="7"/>
      <c r="D208" s="7"/>
      <c r="E208" s="7"/>
      <c r="F208" s="7"/>
      <c r="G208" s="7"/>
      <c r="H208" s="7"/>
      <c r="I208" s="7"/>
      <c r="J208" s="7"/>
      <c r="K208" s="7"/>
    </row>
    <row r="209">
      <c r="A209" s="7"/>
      <c r="B209" s="7"/>
      <c r="C209" s="7"/>
      <c r="D209" s="7"/>
      <c r="E209" s="7"/>
      <c r="F209" s="7"/>
      <c r="G209" s="7"/>
      <c r="H209" s="7"/>
      <c r="I209" s="7"/>
      <c r="J209" s="7"/>
      <c r="K209" s="7"/>
    </row>
    <row r="210">
      <c r="A210" s="7"/>
      <c r="B210" s="7"/>
      <c r="C210" s="7"/>
      <c r="D210" s="7"/>
      <c r="E210" s="7"/>
      <c r="F210" s="7"/>
      <c r="G210" s="7"/>
      <c r="H210" s="7"/>
      <c r="I210" s="7"/>
      <c r="J210" s="7"/>
      <c r="K210" s="7"/>
    </row>
    <row r="211">
      <c r="A211" s="7"/>
      <c r="B211" s="7"/>
      <c r="C211" s="7"/>
      <c r="D211" s="7"/>
      <c r="E211" s="7"/>
      <c r="F211" s="7"/>
      <c r="G211" s="7"/>
      <c r="H211" s="7"/>
      <c r="I211" s="7"/>
      <c r="J211" s="7"/>
      <c r="K211" s="7"/>
    </row>
    <row r="212">
      <c r="A212" s="7"/>
      <c r="B212" s="7"/>
      <c r="C212" s="7"/>
      <c r="D212" s="7"/>
      <c r="E212" s="7"/>
      <c r="F212" s="7"/>
      <c r="G212" s="7"/>
      <c r="H212" s="7"/>
      <c r="I212" s="7"/>
      <c r="J212" s="7"/>
      <c r="K212" s="7"/>
    </row>
    <row r="213">
      <c r="A213" s="7"/>
      <c r="B213" s="7"/>
      <c r="C213" s="7"/>
      <c r="D213" s="7"/>
      <c r="E213" s="7"/>
      <c r="F213" s="7"/>
      <c r="G213" s="7"/>
      <c r="H213" s="7"/>
      <c r="I213" s="7"/>
      <c r="J213" s="7"/>
      <c r="K213" s="7"/>
    </row>
    <row r="214">
      <c r="A214" s="7"/>
      <c r="B214" s="7"/>
      <c r="C214" s="7"/>
      <c r="D214" s="7"/>
      <c r="E214" s="7"/>
      <c r="F214" s="7"/>
      <c r="G214" s="7"/>
      <c r="H214" s="7"/>
      <c r="I214" s="7"/>
      <c r="J214" s="7"/>
      <c r="K214" s="7"/>
    </row>
    <row r="215">
      <c r="A215" s="7"/>
      <c r="B215" s="7"/>
      <c r="C215" s="7"/>
      <c r="D215" s="7"/>
      <c r="E215" s="7"/>
      <c r="F215" s="7"/>
      <c r="G215" s="7"/>
      <c r="H215" s="7"/>
      <c r="I215" s="7"/>
      <c r="J215" s="7"/>
      <c r="K215" s="7"/>
    </row>
    <row r="216">
      <c r="A216" s="7"/>
      <c r="B216" s="7"/>
      <c r="C216" s="7"/>
      <c r="D216" s="7"/>
      <c r="E216" s="7"/>
      <c r="F216" s="7"/>
      <c r="G216" s="7"/>
      <c r="H216" s="7"/>
      <c r="I216" s="7"/>
      <c r="J216" s="7"/>
      <c r="K216" s="7"/>
    </row>
    <row r="217">
      <c r="A217" s="7"/>
      <c r="B217" s="7"/>
      <c r="C217" s="7"/>
      <c r="D217" s="7"/>
      <c r="E217" s="7"/>
      <c r="F217" s="7"/>
      <c r="G217" s="7"/>
      <c r="H217" s="7"/>
      <c r="I217" s="7"/>
      <c r="J217" s="7"/>
      <c r="K217" s="7"/>
    </row>
    <row r="218">
      <c r="A218" s="7"/>
      <c r="B218" s="7"/>
      <c r="C218" s="7"/>
      <c r="D218" s="7"/>
      <c r="E218" s="7"/>
      <c r="F218" s="7"/>
      <c r="G218" s="7"/>
      <c r="H218" s="7"/>
      <c r="I218" s="7"/>
      <c r="J218" s="7"/>
      <c r="K218" s="7"/>
    </row>
    <row r="219">
      <c r="A219" s="7"/>
      <c r="B219" s="7"/>
      <c r="C219" s="7"/>
      <c r="D219" s="7"/>
      <c r="E219" s="7"/>
      <c r="F219" s="7"/>
      <c r="G219" s="7"/>
      <c r="H219" s="7"/>
      <c r="I219" s="7"/>
      <c r="J219" s="7"/>
      <c r="K219" s="7"/>
    </row>
    <row r="220">
      <c r="A220" s="7"/>
      <c r="B220" s="7"/>
      <c r="C220" s="7"/>
      <c r="D220" s="7"/>
      <c r="E220" s="7"/>
      <c r="F220" s="7"/>
      <c r="G220" s="7"/>
      <c r="H220" s="7"/>
      <c r="I220" s="7"/>
      <c r="J220" s="7"/>
      <c r="K220" s="7"/>
    </row>
    <row r="221">
      <c r="A221" s="7"/>
      <c r="B221" s="7"/>
      <c r="C221" s="7"/>
      <c r="D221" s="7"/>
      <c r="E221" s="7"/>
      <c r="F221" s="7"/>
      <c r="G221" s="7"/>
      <c r="H221" s="7"/>
      <c r="I221" s="7"/>
      <c r="J221" s="7"/>
      <c r="K221" s="7"/>
    </row>
    <row r="222">
      <c r="A222" s="7"/>
      <c r="B222" s="7"/>
      <c r="C222" s="7"/>
      <c r="D222" s="7"/>
      <c r="E222" s="7"/>
      <c r="F222" s="7"/>
      <c r="G222" s="7"/>
      <c r="H222" s="7"/>
      <c r="I222" s="7"/>
      <c r="J222" s="7"/>
      <c r="K222" s="7"/>
    </row>
    <row r="223">
      <c r="A223" s="7"/>
      <c r="B223" s="7"/>
      <c r="C223" s="7"/>
      <c r="D223" s="7"/>
      <c r="E223" s="7"/>
      <c r="F223" s="7"/>
      <c r="G223" s="7"/>
      <c r="H223" s="7"/>
      <c r="I223" s="7"/>
      <c r="J223" s="7"/>
      <c r="K223" s="7"/>
    </row>
    <row r="224">
      <c r="A224" s="7"/>
      <c r="B224" s="7"/>
      <c r="C224" s="7"/>
      <c r="D224" s="7"/>
      <c r="E224" s="7"/>
      <c r="F224" s="7"/>
      <c r="G224" s="7"/>
      <c r="H224" s="7"/>
      <c r="I224" s="7"/>
      <c r="J224" s="7"/>
      <c r="K224" s="7"/>
    </row>
    <row r="225">
      <c r="A225" s="7"/>
      <c r="B225" s="7"/>
      <c r="C225" s="7"/>
      <c r="D225" s="7"/>
      <c r="E225" s="7"/>
      <c r="F225" s="7"/>
      <c r="G225" s="7"/>
      <c r="H225" s="7"/>
      <c r="I225" s="7"/>
      <c r="J225" s="7"/>
      <c r="K225" s="7"/>
    </row>
    <row r="226">
      <c r="A226" s="7"/>
      <c r="B226" s="7"/>
      <c r="C226" s="7"/>
      <c r="D226" s="7"/>
      <c r="E226" s="7"/>
      <c r="F226" s="7"/>
      <c r="G226" s="7"/>
      <c r="H226" s="7"/>
      <c r="I226" s="7"/>
      <c r="J226" s="7"/>
      <c r="K226" s="7"/>
    </row>
    <row r="227">
      <c r="A227" s="7"/>
      <c r="B227" s="7"/>
      <c r="C227" s="7"/>
      <c r="D227" s="7"/>
      <c r="E227" s="7"/>
      <c r="F227" s="7"/>
      <c r="G227" s="7"/>
      <c r="H227" s="7"/>
      <c r="I227" s="7"/>
      <c r="J227" s="7"/>
      <c r="K227" s="7"/>
    </row>
    <row r="228">
      <c r="A228" s="7"/>
      <c r="B228" s="7"/>
      <c r="C228" s="7"/>
      <c r="D228" s="7"/>
      <c r="E228" s="7"/>
      <c r="F228" s="7"/>
      <c r="G228" s="7"/>
      <c r="H228" s="7"/>
      <c r="I228" s="7"/>
      <c r="J228" s="7"/>
      <c r="K228" s="7"/>
    </row>
    <row r="229">
      <c r="A229" s="7"/>
      <c r="B229" s="7"/>
      <c r="C229" s="7"/>
      <c r="D229" s="7"/>
      <c r="E229" s="7"/>
      <c r="F229" s="7"/>
      <c r="G229" s="7"/>
      <c r="H229" s="7"/>
      <c r="I229" s="7"/>
      <c r="J229" s="7"/>
      <c r="K229" s="7"/>
    </row>
    <row r="230">
      <c r="A230" s="7"/>
      <c r="B230" s="7"/>
      <c r="C230" s="7"/>
      <c r="D230" s="7"/>
      <c r="E230" s="7"/>
      <c r="F230" s="7"/>
      <c r="G230" s="7"/>
      <c r="H230" s="7"/>
      <c r="I230" s="7"/>
      <c r="J230" s="7"/>
      <c r="K230" s="7"/>
    </row>
    <row r="231">
      <c r="A231" s="7"/>
      <c r="B231" s="7"/>
      <c r="C231" s="7"/>
      <c r="D231" s="7"/>
      <c r="E231" s="7"/>
      <c r="F231" s="7"/>
      <c r="G231" s="7"/>
      <c r="H231" s="7"/>
      <c r="I231" s="7"/>
      <c r="J231" s="7"/>
      <c r="K231" s="7"/>
    </row>
    <row r="232">
      <c r="A232" s="7"/>
      <c r="B232" s="7"/>
      <c r="C232" s="7"/>
      <c r="D232" s="7"/>
      <c r="E232" s="7"/>
      <c r="F232" s="7"/>
      <c r="G232" s="7"/>
      <c r="H232" s="7"/>
      <c r="I232" s="7"/>
      <c r="J232" s="7"/>
      <c r="K232" s="7"/>
    </row>
    <row r="233">
      <c r="A233" s="7"/>
      <c r="B233" s="7"/>
      <c r="C233" s="7"/>
      <c r="D233" s="7"/>
      <c r="E233" s="7"/>
      <c r="F233" s="7"/>
      <c r="G233" s="7"/>
      <c r="H233" s="7"/>
      <c r="I233" s="7"/>
      <c r="J233" s="7"/>
      <c r="K233" s="7"/>
    </row>
    <row r="234">
      <c r="A234" s="7"/>
      <c r="B234" s="7"/>
      <c r="C234" s="7"/>
      <c r="D234" s="7"/>
      <c r="E234" s="7"/>
      <c r="F234" s="7"/>
      <c r="G234" s="7"/>
      <c r="H234" s="7"/>
      <c r="I234" s="7"/>
      <c r="J234" s="7"/>
      <c r="K234" s="7"/>
    </row>
    <row r="235">
      <c r="A235" s="7"/>
      <c r="B235" s="7"/>
      <c r="C235" s="7"/>
      <c r="D235" s="7"/>
      <c r="E235" s="7"/>
      <c r="F235" s="7"/>
      <c r="G235" s="7"/>
      <c r="H235" s="7"/>
      <c r="I235" s="7"/>
      <c r="J235" s="7"/>
      <c r="K235" s="7"/>
    </row>
    <row r="236">
      <c r="A236" s="7"/>
      <c r="B236" s="7"/>
      <c r="C236" s="7"/>
      <c r="D236" s="7"/>
      <c r="E236" s="7"/>
      <c r="F236" s="7"/>
      <c r="G236" s="7"/>
      <c r="H236" s="7"/>
      <c r="I236" s="7"/>
      <c r="J236" s="7"/>
      <c r="K236" s="7"/>
    </row>
    <row r="237">
      <c r="A237" s="7"/>
      <c r="B237" s="7"/>
      <c r="C237" s="7"/>
      <c r="D237" s="7"/>
      <c r="E237" s="7"/>
      <c r="F237" s="7"/>
      <c r="G237" s="7"/>
      <c r="H237" s="7"/>
      <c r="I237" s="7"/>
      <c r="J237" s="7"/>
      <c r="K237" s="7"/>
    </row>
    <row r="238">
      <c r="A238" s="7"/>
      <c r="B238" s="7"/>
      <c r="C238" s="7"/>
      <c r="D238" s="7"/>
      <c r="E238" s="7"/>
      <c r="F238" s="7"/>
      <c r="G238" s="7"/>
      <c r="H238" s="7"/>
      <c r="I238" s="7"/>
      <c r="J238" s="7"/>
      <c r="K238" s="7"/>
    </row>
    <row r="239">
      <c r="A239" s="7"/>
      <c r="B239" s="7"/>
      <c r="C239" s="7"/>
      <c r="D239" s="7"/>
      <c r="E239" s="7"/>
      <c r="F239" s="7"/>
      <c r="G239" s="7"/>
      <c r="H239" s="7"/>
      <c r="I239" s="7"/>
      <c r="J239" s="7"/>
      <c r="K239" s="7"/>
    </row>
    <row r="240">
      <c r="A240" s="7"/>
      <c r="B240" s="7"/>
      <c r="C240" s="7"/>
      <c r="D240" s="7"/>
      <c r="E240" s="7"/>
      <c r="F240" s="7"/>
      <c r="G240" s="7"/>
      <c r="H240" s="7"/>
      <c r="I240" s="7"/>
      <c r="J240" s="7"/>
      <c r="K240" s="7"/>
    </row>
    <row r="241">
      <c r="A241" s="7"/>
      <c r="B241" s="7"/>
      <c r="C241" s="7"/>
      <c r="D241" s="7"/>
      <c r="E241" s="7"/>
      <c r="F241" s="7"/>
      <c r="G241" s="7"/>
      <c r="H241" s="7"/>
      <c r="I241" s="7"/>
      <c r="J241" s="7"/>
      <c r="K241" s="7"/>
    </row>
    <row r="242">
      <c r="A242" s="7"/>
      <c r="B242" s="7"/>
      <c r="C242" s="7"/>
      <c r="D242" s="7"/>
      <c r="E242" s="7"/>
      <c r="F242" s="7"/>
      <c r="G242" s="7"/>
      <c r="H242" s="7"/>
      <c r="I242" s="7"/>
      <c r="J242" s="7"/>
      <c r="K242" s="7"/>
    </row>
    <row r="243">
      <c r="A243" s="7"/>
      <c r="B243" s="7"/>
      <c r="C243" s="7"/>
      <c r="D243" s="7"/>
      <c r="E243" s="7"/>
      <c r="F243" s="7"/>
      <c r="G243" s="7"/>
      <c r="H243" s="7"/>
      <c r="I243" s="7"/>
      <c r="J243" s="7"/>
      <c r="K243" s="7"/>
    </row>
    <row r="244">
      <c r="A244" s="7"/>
      <c r="B244" s="7"/>
      <c r="C244" s="7"/>
      <c r="D244" s="7"/>
      <c r="E244" s="7"/>
      <c r="F244" s="7"/>
      <c r="G244" s="7"/>
      <c r="H244" s="7"/>
      <c r="I244" s="7"/>
      <c r="J244" s="7"/>
      <c r="K244" s="7"/>
    </row>
    <row r="245">
      <c r="A245" s="7"/>
      <c r="B245" s="7"/>
      <c r="C245" s="7"/>
      <c r="D245" s="7"/>
      <c r="E245" s="7"/>
      <c r="F245" s="7"/>
      <c r="G245" s="7"/>
      <c r="H245" s="7"/>
      <c r="I245" s="7"/>
      <c r="J245" s="7"/>
      <c r="K245" s="7"/>
    </row>
    <row r="246">
      <c r="A246" s="7"/>
      <c r="B246" s="7"/>
      <c r="C246" s="7"/>
      <c r="D246" s="7"/>
      <c r="E246" s="7"/>
      <c r="F246" s="7"/>
      <c r="G246" s="7"/>
      <c r="H246" s="7"/>
      <c r="I246" s="7"/>
      <c r="J246" s="7"/>
      <c r="K246" s="7"/>
    </row>
    <row r="247">
      <c r="A247" s="7"/>
      <c r="B247" s="7"/>
      <c r="C247" s="7"/>
      <c r="D247" s="7"/>
      <c r="E247" s="7"/>
      <c r="F247" s="7"/>
      <c r="G247" s="7"/>
      <c r="H247" s="7"/>
      <c r="I247" s="7"/>
      <c r="J247" s="7"/>
      <c r="K247" s="7"/>
    </row>
    <row r="248">
      <c r="A248" s="7"/>
      <c r="B248" s="7"/>
      <c r="C248" s="7"/>
      <c r="D248" s="7"/>
      <c r="E248" s="7"/>
      <c r="F248" s="7"/>
      <c r="G248" s="7"/>
      <c r="H248" s="7"/>
      <c r="I248" s="7"/>
      <c r="J248" s="7"/>
      <c r="K248" s="7"/>
    </row>
    <row r="249">
      <c r="A249" s="7"/>
      <c r="B249" s="7"/>
      <c r="C249" s="7"/>
      <c r="D249" s="7"/>
      <c r="E249" s="7"/>
      <c r="F249" s="7"/>
      <c r="G249" s="7"/>
      <c r="H249" s="7"/>
      <c r="I249" s="7"/>
      <c r="J249" s="7"/>
      <c r="K249" s="7"/>
    </row>
    <row r="250">
      <c r="A250" s="7"/>
      <c r="B250" s="7"/>
      <c r="C250" s="7"/>
      <c r="D250" s="7"/>
      <c r="E250" s="7"/>
      <c r="F250" s="7"/>
      <c r="G250" s="7"/>
      <c r="H250" s="7"/>
      <c r="I250" s="7"/>
      <c r="J250" s="7"/>
      <c r="K250" s="7"/>
    </row>
    <row r="251">
      <c r="A251" s="7"/>
      <c r="B251" s="7"/>
      <c r="C251" s="7"/>
      <c r="D251" s="7"/>
      <c r="E251" s="7"/>
      <c r="F251" s="7"/>
      <c r="G251" s="7"/>
      <c r="H251" s="7"/>
      <c r="I251" s="7"/>
      <c r="J251" s="7"/>
      <c r="K251" s="7"/>
    </row>
    <row r="252">
      <c r="A252" s="7"/>
      <c r="B252" s="7"/>
      <c r="C252" s="7"/>
      <c r="D252" s="7"/>
      <c r="E252" s="7"/>
      <c r="F252" s="7"/>
      <c r="G252" s="7"/>
      <c r="H252" s="7"/>
      <c r="I252" s="7"/>
      <c r="J252" s="7"/>
      <c r="K252" s="7"/>
    </row>
    <row r="253">
      <c r="A253" s="7"/>
      <c r="B253" s="7"/>
      <c r="C253" s="7"/>
      <c r="D253" s="7"/>
      <c r="E253" s="7"/>
      <c r="F253" s="7"/>
      <c r="G253" s="7"/>
      <c r="H253" s="7"/>
      <c r="I253" s="7"/>
      <c r="J253" s="7"/>
      <c r="K253" s="7"/>
    </row>
    <row r="254">
      <c r="A254" s="7"/>
      <c r="B254" s="7"/>
      <c r="C254" s="7"/>
      <c r="D254" s="7"/>
      <c r="E254" s="7"/>
      <c r="F254" s="7"/>
      <c r="G254" s="7"/>
      <c r="H254" s="7"/>
      <c r="I254" s="7"/>
      <c r="J254" s="7"/>
      <c r="K254" s="7"/>
    </row>
    <row r="255">
      <c r="A255" s="7"/>
      <c r="B255" s="7"/>
      <c r="C255" s="7"/>
      <c r="D255" s="7"/>
      <c r="E255" s="7"/>
      <c r="F255" s="7"/>
      <c r="G255" s="7"/>
      <c r="H255" s="7"/>
      <c r="I255" s="7"/>
      <c r="J255" s="7"/>
      <c r="K255" s="7"/>
    </row>
    <row r="256">
      <c r="A256" s="7"/>
      <c r="B256" s="7"/>
      <c r="C256" s="7"/>
      <c r="D256" s="7"/>
      <c r="E256" s="7"/>
      <c r="F256" s="7"/>
      <c r="G256" s="7"/>
      <c r="H256" s="7"/>
      <c r="I256" s="7"/>
      <c r="J256" s="7"/>
      <c r="K256" s="7"/>
    </row>
    <row r="257">
      <c r="A257" s="7"/>
      <c r="B257" s="7"/>
      <c r="C257" s="7"/>
      <c r="D257" s="7"/>
      <c r="E257" s="7"/>
      <c r="F257" s="7"/>
      <c r="G257" s="7"/>
      <c r="H257" s="7"/>
      <c r="I257" s="7"/>
      <c r="J257" s="7"/>
      <c r="K257" s="7"/>
    </row>
    <row r="258">
      <c r="A258" s="7"/>
      <c r="B258" s="7"/>
      <c r="C258" s="7"/>
      <c r="D258" s="7"/>
      <c r="E258" s="7"/>
      <c r="F258" s="7"/>
      <c r="G258" s="7"/>
      <c r="H258" s="7"/>
      <c r="I258" s="7"/>
      <c r="J258" s="7"/>
      <c r="K258" s="7"/>
    </row>
    <row r="259">
      <c r="A259" s="7"/>
      <c r="B259" s="7"/>
      <c r="C259" s="7"/>
      <c r="D259" s="7"/>
      <c r="E259" s="7"/>
      <c r="F259" s="7"/>
      <c r="G259" s="7"/>
      <c r="H259" s="7"/>
      <c r="I259" s="7"/>
      <c r="J259" s="7"/>
      <c r="K259" s="7"/>
    </row>
    <row r="260">
      <c r="A260" s="7"/>
      <c r="B260" s="7"/>
      <c r="C260" s="7"/>
      <c r="D260" s="7"/>
      <c r="E260" s="7"/>
      <c r="F260" s="7"/>
      <c r="G260" s="7"/>
      <c r="H260" s="7"/>
      <c r="I260" s="7"/>
      <c r="J260" s="7"/>
      <c r="K260" s="7"/>
    </row>
    <row r="261">
      <c r="A261" s="7"/>
      <c r="B261" s="7"/>
      <c r="C261" s="7"/>
      <c r="D261" s="7"/>
      <c r="E261" s="7"/>
      <c r="F261" s="7"/>
      <c r="G261" s="7"/>
      <c r="H261" s="7"/>
      <c r="I261" s="7"/>
      <c r="J261" s="7"/>
      <c r="K261" s="7"/>
    </row>
    <row r="262">
      <c r="A262" s="7"/>
      <c r="B262" s="7"/>
      <c r="C262" s="7"/>
      <c r="D262" s="7"/>
      <c r="E262" s="7"/>
      <c r="F262" s="7"/>
      <c r="G262" s="7"/>
      <c r="H262" s="7"/>
      <c r="I262" s="7"/>
      <c r="J262" s="7"/>
      <c r="K262" s="7"/>
    </row>
    <row r="263">
      <c r="A263" s="7"/>
      <c r="B263" s="7"/>
      <c r="C263" s="7"/>
      <c r="D263" s="7"/>
      <c r="E263" s="7"/>
      <c r="F263" s="7"/>
      <c r="G263" s="7"/>
      <c r="H263" s="7"/>
      <c r="I263" s="7"/>
      <c r="J263" s="7"/>
      <c r="K263" s="7"/>
    </row>
    <row r="264">
      <c r="A264" s="7"/>
      <c r="B264" s="7"/>
      <c r="C264" s="7"/>
      <c r="D264" s="7"/>
      <c r="E264" s="7"/>
      <c r="F264" s="7"/>
      <c r="G264" s="7"/>
      <c r="H264" s="7"/>
      <c r="I264" s="7"/>
      <c r="J264" s="7"/>
      <c r="K264" s="7"/>
    </row>
    <row r="265">
      <c r="A265" s="7"/>
      <c r="B265" s="7"/>
      <c r="C265" s="7"/>
      <c r="D265" s="7"/>
      <c r="E265" s="7"/>
      <c r="F265" s="7"/>
      <c r="G265" s="7"/>
      <c r="H265" s="7"/>
      <c r="I265" s="7"/>
      <c r="J265" s="7"/>
      <c r="K265" s="7"/>
    </row>
    <row r="266">
      <c r="A266" s="7"/>
      <c r="B266" s="7"/>
      <c r="C266" s="7"/>
      <c r="D266" s="7"/>
      <c r="E266" s="7"/>
      <c r="F266" s="7"/>
      <c r="G266" s="7"/>
      <c r="H266" s="7"/>
      <c r="I266" s="7"/>
      <c r="J266" s="7"/>
      <c r="K266" s="7"/>
    </row>
    <row r="267">
      <c r="A267" s="7"/>
      <c r="B267" s="7"/>
      <c r="C267" s="7"/>
      <c r="D267" s="7"/>
      <c r="E267" s="7"/>
      <c r="F267" s="7"/>
      <c r="G267" s="7"/>
      <c r="H267" s="7"/>
      <c r="I267" s="7"/>
      <c r="J267" s="7"/>
      <c r="K267" s="7"/>
    </row>
    <row r="268">
      <c r="A268" s="7"/>
      <c r="B268" s="7"/>
      <c r="C268" s="7"/>
      <c r="D268" s="7"/>
      <c r="E268" s="7"/>
      <c r="F268" s="7"/>
      <c r="G268" s="7"/>
      <c r="H268" s="7"/>
      <c r="I268" s="7"/>
      <c r="J268" s="7"/>
      <c r="K268" s="7"/>
    </row>
    <row r="269">
      <c r="A269" s="7"/>
      <c r="B269" s="7"/>
      <c r="C269" s="7"/>
      <c r="D269" s="7"/>
      <c r="E269" s="7"/>
      <c r="F269" s="7"/>
      <c r="G269" s="7"/>
      <c r="H269" s="7"/>
      <c r="I269" s="7"/>
      <c r="J269" s="7"/>
      <c r="K269" s="7"/>
    </row>
    <row r="270">
      <c r="A270" s="7"/>
      <c r="B270" s="7"/>
      <c r="C270" s="7"/>
      <c r="D270" s="7"/>
      <c r="E270" s="7"/>
      <c r="F270" s="7"/>
      <c r="G270" s="7"/>
      <c r="H270" s="7"/>
      <c r="I270" s="7"/>
      <c r="J270" s="7"/>
      <c r="K270" s="7"/>
    </row>
    <row r="271">
      <c r="A271" s="7"/>
      <c r="B271" s="7"/>
      <c r="C271" s="7"/>
      <c r="D271" s="7"/>
      <c r="E271" s="7"/>
      <c r="F271" s="7"/>
      <c r="G271" s="7"/>
      <c r="H271" s="7"/>
      <c r="I271" s="7"/>
      <c r="J271" s="7"/>
      <c r="K271" s="7"/>
    </row>
    <row r="272">
      <c r="A272" s="7"/>
      <c r="B272" s="7"/>
      <c r="C272" s="7"/>
      <c r="D272" s="7"/>
      <c r="E272" s="7"/>
      <c r="F272" s="7"/>
      <c r="G272" s="7"/>
      <c r="H272" s="7"/>
      <c r="I272" s="7"/>
      <c r="J272" s="7"/>
      <c r="K272" s="7"/>
    </row>
    <row r="273">
      <c r="A273" s="7"/>
      <c r="B273" s="7"/>
      <c r="C273" s="7"/>
      <c r="D273" s="7"/>
      <c r="E273" s="7"/>
      <c r="F273" s="7"/>
      <c r="G273" s="7"/>
      <c r="H273" s="7"/>
      <c r="I273" s="7"/>
      <c r="J273" s="7"/>
      <c r="K273" s="7"/>
    </row>
    <row r="274">
      <c r="A274" s="7"/>
      <c r="B274" s="7"/>
      <c r="C274" s="7"/>
      <c r="D274" s="7"/>
      <c r="E274" s="7"/>
      <c r="F274" s="7"/>
      <c r="G274" s="7"/>
      <c r="H274" s="7"/>
      <c r="I274" s="7"/>
      <c r="J274" s="7"/>
      <c r="K274" s="7"/>
    </row>
    <row r="275">
      <c r="A275" s="7"/>
      <c r="B275" s="7"/>
      <c r="C275" s="7"/>
      <c r="D275" s="7"/>
      <c r="E275" s="7"/>
      <c r="F275" s="7"/>
      <c r="G275" s="7"/>
      <c r="H275" s="7"/>
      <c r="I275" s="7"/>
      <c r="J275" s="7"/>
      <c r="K275" s="7"/>
    </row>
    <row r="276">
      <c r="A276" s="7"/>
      <c r="B276" s="7"/>
      <c r="C276" s="7"/>
      <c r="D276" s="7"/>
      <c r="E276" s="7"/>
      <c r="F276" s="7"/>
      <c r="G276" s="7"/>
      <c r="H276" s="7"/>
      <c r="I276" s="7"/>
      <c r="J276" s="7"/>
      <c r="K276" s="7"/>
    </row>
    <row r="277">
      <c r="A277" s="7"/>
      <c r="B277" s="7"/>
      <c r="C277" s="7"/>
      <c r="D277" s="7"/>
      <c r="E277" s="7"/>
      <c r="F277" s="7"/>
      <c r="G277" s="7"/>
      <c r="H277" s="7"/>
      <c r="I277" s="7"/>
      <c r="J277" s="7"/>
      <c r="K277" s="7"/>
    </row>
    <row r="278">
      <c r="A278" s="7"/>
      <c r="B278" s="7"/>
      <c r="C278" s="7"/>
      <c r="D278" s="7"/>
      <c r="E278" s="7"/>
      <c r="F278" s="7"/>
      <c r="G278" s="7"/>
      <c r="H278" s="7"/>
      <c r="I278" s="7"/>
      <c r="J278" s="7"/>
      <c r="K278" s="7"/>
    </row>
    <row r="279">
      <c r="A279" s="7"/>
      <c r="B279" s="7"/>
      <c r="C279" s="7"/>
      <c r="D279" s="7"/>
      <c r="E279" s="7"/>
      <c r="F279" s="7"/>
      <c r="G279" s="7"/>
      <c r="H279" s="7"/>
      <c r="I279" s="7"/>
      <c r="J279" s="7"/>
      <c r="K279" s="7"/>
    </row>
    <row r="280">
      <c r="A280" s="7"/>
      <c r="B280" s="7"/>
      <c r="C280" s="7"/>
      <c r="D280" s="7"/>
      <c r="E280" s="7"/>
      <c r="F280" s="7"/>
      <c r="G280" s="7"/>
      <c r="H280" s="7"/>
      <c r="I280" s="7"/>
      <c r="J280" s="7"/>
      <c r="K280" s="7"/>
    </row>
    <row r="281">
      <c r="A281" s="7"/>
      <c r="B281" s="7"/>
      <c r="C281" s="7"/>
      <c r="D281" s="7"/>
      <c r="E281" s="7"/>
      <c r="F281" s="7"/>
      <c r="G281" s="7"/>
      <c r="H281" s="7"/>
      <c r="I281" s="7"/>
      <c r="J281" s="7"/>
      <c r="K281" s="7"/>
    </row>
    <row r="282">
      <c r="A282" s="7"/>
      <c r="B282" s="7"/>
      <c r="C282" s="7"/>
      <c r="D282" s="7"/>
      <c r="E282" s="7"/>
      <c r="F282" s="7"/>
      <c r="G282" s="7"/>
      <c r="H282" s="7"/>
      <c r="I282" s="7"/>
      <c r="J282" s="7"/>
      <c r="K282" s="7"/>
    </row>
    <row r="283">
      <c r="A283" s="7"/>
      <c r="B283" s="7"/>
      <c r="C283" s="7"/>
      <c r="D283" s="7"/>
      <c r="E283" s="7"/>
      <c r="F283" s="7"/>
      <c r="G283" s="7"/>
      <c r="H283" s="7"/>
      <c r="I283" s="7"/>
      <c r="J283" s="7"/>
      <c r="K283" s="7"/>
    </row>
    <row r="284">
      <c r="A284" s="7"/>
      <c r="B284" s="7"/>
      <c r="C284" s="7"/>
      <c r="D284" s="7"/>
      <c r="E284" s="7"/>
      <c r="F284" s="7"/>
      <c r="G284" s="7"/>
      <c r="H284" s="7"/>
      <c r="I284" s="7"/>
      <c r="J284" s="7"/>
      <c r="K284" s="7"/>
    </row>
    <row r="285">
      <c r="A285" s="7"/>
      <c r="B285" s="7"/>
      <c r="C285" s="7"/>
      <c r="D285" s="7"/>
      <c r="E285" s="7"/>
      <c r="F285" s="7"/>
      <c r="G285" s="7"/>
      <c r="H285" s="7"/>
      <c r="I285" s="7"/>
      <c r="J285" s="7"/>
      <c r="K285" s="7"/>
    </row>
    <row r="286">
      <c r="A286" s="7"/>
      <c r="B286" s="7"/>
      <c r="C286" s="7"/>
      <c r="D286" s="7"/>
      <c r="E286" s="7"/>
      <c r="F286" s="7"/>
      <c r="G286" s="7"/>
      <c r="H286" s="7"/>
      <c r="I286" s="7"/>
      <c r="J286" s="7"/>
      <c r="K286" s="7"/>
    </row>
    <row r="287">
      <c r="A287" s="7"/>
      <c r="B287" s="7"/>
      <c r="C287" s="7"/>
      <c r="D287" s="7"/>
      <c r="E287" s="7"/>
      <c r="F287" s="7"/>
      <c r="G287" s="7"/>
      <c r="H287" s="7"/>
      <c r="I287" s="7"/>
      <c r="J287" s="7"/>
      <c r="K287" s="7"/>
    </row>
    <row r="288">
      <c r="A288" s="7"/>
      <c r="B288" s="7"/>
      <c r="C288" s="7"/>
      <c r="D288" s="7"/>
      <c r="E288" s="7"/>
      <c r="F288" s="7"/>
      <c r="G288" s="7"/>
      <c r="H288" s="7"/>
      <c r="I288" s="7"/>
      <c r="J288" s="7"/>
      <c r="K288" s="7"/>
    </row>
    <row r="289">
      <c r="A289" s="7"/>
      <c r="B289" s="7"/>
      <c r="C289" s="7"/>
      <c r="D289" s="7"/>
      <c r="E289" s="7"/>
      <c r="F289" s="7"/>
      <c r="G289" s="7"/>
      <c r="H289" s="7"/>
      <c r="I289" s="7"/>
      <c r="J289" s="7"/>
      <c r="K289" s="7"/>
    </row>
    <row r="290">
      <c r="A290" s="7"/>
      <c r="B290" s="7"/>
      <c r="C290" s="7"/>
      <c r="D290" s="7"/>
      <c r="E290" s="7"/>
      <c r="F290" s="7"/>
      <c r="G290" s="7"/>
      <c r="H290" s="7"/>
      <c r="I290" s="7"/>
      <c r="J290" s="7"/>
      <c r="K290" s="7"/>
    </row>
    <row r="291">
      <c r="A291" s="7"/>
      <c r="B291" s="7"/>
      <c r="C291" s="7"/>
      <c r="D291" s="7"/>
      <c r="E291" s="7"/>
      <c r="F291" s="7"/>
      <c r="G291" s="7"/>
      <c r="H291" s="7"/>
      <c r="I291" s="7"/>
      <c r="J291" s="7"/>
      <c r="K291" s="7"/>
    </row>
    <row r="292">
      <c r="A292" s="7"/>
      <c r="B292" s="7"/>
      <c r="C292" s="7"/>
      <c r="D292" s="7"/>
      <c r="E292" s="7"/>
      <c r="F292" s="7"/>
      <c r="G292" s="7"/>
      <c r="H292" s="7"/>
      <c r="I292" s="7"/>
      <c r="J292" s="7"/>
      <c r="K292" s="7"/>
    </row>
    <row r="293">
      <c r="A293" s="7"/>
      <c r="B293" s="7"/>
      <c r="C293" s="7"/>
      <c r="D293" s="7"/>
      <c r="E293" s="7"/>
      <c r="F293" s="7"/>
      <c r="G293" s="7"/>
      <c r="H293" s="7"/>
      <c r="I293" s="7"/>
      <c r="J293" s="7"/>
      <c r="K293" s="7"/>
    </row>
    <row r="294">
      <c r="A294" s="7"/>
      <c r="B294" s="7"/>
      <c r="C294" s="7"/>
      <c r="D294" s="7"/>
      <c r="E294" s="7"/>
      <c r="F294" s="7"/>
      <c r="G294" s="7"/>
      <c r="H294" s="7"/>
      <c r="I294" s="7"/>
      <c r="J294" s="7"/>
      <c r="K294" s="7"/>
    </row>
    <row r="295">
      <c r="A295" s="7"/>
      <c r="B295" s="7"/>
      <c r="C295" s="7"/>
      <c r="D295" s="7"/>
      <c r="E295" s="7"/>
      <c r="F295" s="7"/>
      <c r="G295" s="7"/>
      <c r="H295" s="7"/>
      <c r="I295" s="7"/>
      <c r="J295" s="7"/>
      <c r="K295" s="7"/>
    </row>
    <row r="296">
      <c r="A296" s="7"/>
      <c r="B296" s="7"/>
      <c r="C296" s="7"/>
      <c r="D296" s="7"/>
      <c r="E296" s="7"/>
      <c r="F296" s="7"/>
      <c r="G296" s="7"/>
      <c r="H296" s="7"/>
      <c r="I296" s="7"/>
      <c r="J296" s="7"/>
      <c r="K296" s="7"/>
    </row>
    <row r="297">
      <c r="A297" s="7"/>
      <c r="B297" s="7"/>
      <c r="C297" s="7"/>
      <c r="D297" s="7"/>
      <c r="E297" s="7"/>
      <c r="F297" s="7"/>
      <c r="G297" s="7"/>
      <c r="H297" s="7"/>
      <c r="I297" s="7"/>
      <c r="J297" s="7"/>
      <c r="K297" s="7"/>
    </row>
    <row r="298">
      <c r="A298" s="7"/>
      <c r="B298" s="7"/>
      <c r="C298" s="7"/>
      <c r="D298" s="7"/>
      <c r="E298" s="7"/>
      <c r="F298" s="7"/>
      <c r="G298" s="7"/>
      <c r="H298" s="7"/>
      <c r="I298" s="7"/>
      <c r="J298" s="7"/>
      <c r="K298" s="7"/>
    </row>
    <row r="299">
      <c r="A299" s="7"/>
      <c r="B299" s="7"/>
      <c r="C299" s="7"/>
      <c r="D299" s="7"/>
      <c r="E299" s="7"/>
      <c r="F299" s="7"/>
      <c r="G299" s="7"/>
      <c r="H299" s="7"/>
      <c r="I299" s="7"/>
      <c r="J299" s="7"/>
      <c r="K299" s="7"/>
    </row>
    <row r="300">
      <c r="A300" s="7"/>
      <c r="B300" s="7"/>
      <c r="C300" s="7"/>
      <c r="D300" s="7"/>
      <c r="E300" s="7"/>
      <c r="F300" s="7"/>
      <c r="G300" s="7"/>
      <c r="H300" s="7"/>
      <c r="I300" s="7"/>
      <c r="J300" s="7"/>
      <c r="K300" s="7"/>
    </row>
    <row r="301">
      <c r="A301" s="7"/>
      <c r="B301" s="7"/>
      <c r="C301" s="7"/>
      <c r="D301" s="7"/>
      <c r="E301" s="7"/>
      <c r="F301" s="7"/>
      <c r="G301" s="7"/>
      <c r="H301" s="7"/>
      <c r="I301" s="7"/>
      <c r="J301" s="7"/>
      <c r="K301" s="7"/>
    </row>
    <row r="302">
      <c r="A302" s="7"/>
      <c r="B302" s="7"/>
      <c r="C302" s="7"/>
      <c r="D302" s="7"/>
      <c r="E302" s="7"/>
      <c r="F302" s="7"/>
      <c r="G302" s="7"/>
      <c r="H302" s="7"/>
      <c r="I302" s="7"/>
      <c r="J302" s="7"/>
      <c r="K302" s="7"/>
    </row>
    <row r="303">
      <c r="A303" s="7"/>
      <c r="B303" s="7"/>
      <c r="C303" s="7"/>
      <c r="D303" s="7"/>
      <c r="E303" s="7"/>
      <c r="F303" s="7"/>
      <c r="G303" s="7"/>
      <c r="H303" s="7"/>
      <c r="I303" s="7"/>
      <c r="J303" s="7"/>
      <c r="K303" s="7"/>
    </row>
    <row r="304">
      <c r="A304" s="7"/>
      <c r="B304" s="7"/>
      <c r="C304" s="7"/>
      <c r="D304" s="7"/>
      <c r="E304" s="7"/>
      <c r="F304" s="7"/>
      <c r="G304" s="7"/>
      <c r="H304" s="7"/>
      <c r="I304" s="7"/>
      <c r="J304" s="7"/>
      <c r="K304" s="7"/>
    </row>
    <row r="305">
      <c r="A305" s="7"/>
      <c r="B305" s="7"/>
      <c r="C305" s="7"/>
      <c r="D305" s="7"/>
      <c r="E305" s="7"/>
      <c r="F305" s="7"/>
      <c r="G305" s="7"/>
      <c r="H305" s="7"/>
      <c r="I305" s="7"/>
      <c r="J305" s="7"/>
      <c r="K305" s="7"/>
    </row>
    <row r="306">
      <c r="A306" s="7"/>
      <c r="B306" s="7"/>
      <c r="C306" s="7"/>
      <c r="D306" s="7"/>
      <c r="E306" s="7"/>
      <c r="F306" s="7"/>
      <c r="G306" s="7"/>
      <c r="H306" s="7"/>
      <c r="I306" s="7"/>
      <c r="J306" s="7"/>
      <c r="K306" s="7"/>
    </row>
    <row r="307">
      <c r="A307" s="7"/>
      <c r="B307" s="7"/>
      <c r="C307" s="7"/>
      <c r="D307" s="7"/>
      <c r="E307" s="7"/>
      <c r="F307" s="7"/>
      <c r="G307" s="7"/>
      <c r="H307" s="7"/>
      <c r="I307" s="7"/>
      <c r="J307" s="7"/>
      <c r="K307" s="7"/>
    </row>
    <row r="308">
      <c r="A308" s="7"/>
      <c r="B308" s="7"/>
      <c r="C308" s="7"/>
      <c r="D308" s="7"/>
      <c r="E308" s="7"/>
      <c r="F308" s="7"/>
      <c r="G308" s="7"/>
      <c r="H308" s="7"/>
      <c r="I308" s="7"/>
      <c r="J308" s="7"/>
      <c r="K308" s="7"/>
    </row>
    <row r="309">
      <c r="A309" s="7"/>
      <c r="B309" s="7"/>
      <c r="C309" s="7"/>
      <c r="D309" s="7"/>
      <c r="E309" s="7"/>
      <c r="F309" s="7"/>
      <c r="G309" s="7"/>
      <c r="H309" s="7"/>
      <c r="I309" s="7"/>
      <c r="J309" s="7"/>
      <c r="K309" s="7"/>
    </row>
    <row r="310">
      <c r="A310" s="7"/>
      <c r="B310" s="7"/>
      <c r="C310" s="7"/>
      <c r="D310" s="7"/>
      <c r="E310" s="7"/>
      <c r="F310" s="7"/>
      <c r="G310" s="7"/>
      <c r="H310" s="7"/>
      <c r="I310" s="7"/>
      <c r="J310" s="7"/>
      <c r="K310" s="7"/>
    </row>
    <row r="311">
      <c r="A311" s="7"/>
      <c r="B311" s="7"/>
      <c r="C311" s="7"/>
      <c r="D311" s="7"/>
      <c r="E311" s="7"/>
      <c r="F311" s="7"/>
      <c r="G311" s="7"/>
      <c r="H311" s="7"/>
      <c r="I311" s="7"/>
      <c r="J311" s="7"/>
      <c r="K311" s="7"/>
    </row>
    <row r="312">
      <c r="A312" s="7"/>
      <c r="B312" s="7"/>
      <c r="C312" s="7"/>
      <c r="D312" s="7"/>
      <c r="E312" s="7"/>
      <c r="F312" s="7"/>
      <c r="G312" s="7"/>
      <c r="H312" s="7"/>
      <c r="I312" s="7"/>
      <c r="J312" s="7"/>
      <c r="K312" s="7"/>
    </row>
    <row r="313">
      <c r="A313" s="7"/>
      <c r="B313" s="7"/>
      <c r="C313" s="7"/>
      <c r="D313" s="7"/>
      <c r="E313" s="7"/>
      <c r="F313" s="7"/>
      <c r="G313" s="7"/>
      <c r="H313" s="7"/>
      <c r="I313" s="7"/>
      <c r="J313" s="7"/>
      <c r="K313" s="7"/>
    </row>
    <row r="314">
      <c r="A314" s="7"/>
      <c r="B314" s="7"/>
      <c r="C314" s="7"/>
      <c r="D314" s="7"/>
      <c r="E314" s="7"/>
      <c r="F314" s="7"/>
      <c r="G314" s="7"/>
      <c r="H314" s="7"/>
      <c r="I314" s="7"/>
      <c r="J314" s="7"/>
      <c r="K314" s="7"/>
    </row>
    <row r="315">
      <c r="A315" s="7"/>
      <c r="B315" s="7"/>
      <c r="C315" s="7"/>
      <c r="D315" s="7"/>
      <c r="E315" s="7"/>
      <c r="F315" s="7"/>
      <c r="G315" s="7"/>
      <c r="H315" s="7"/>
      <c r="I315" s="7"/>
      <c r="J315" s="7"/>
      <c r="K315" s="7"/>
    </row>
    <row r="316">
      <c r="A316" s="7"/>
      <c r="B316" s="7"/>
      <c r="C316" s="7"/>
      <c r="D316" s="7"/>
      <c r="E316" s="7"/>
      <c r="F316" s="7"/>
      <c r="G316" s="7"/>
      <c r="H316" s="7"/>
      <c r="I316" s="7"/>
      <c r="J316" s="7"/>
      <c r="K316" s="7"/>
    </row>
    <row r="317">
      <c r="A317" s="7"/>
      <c r="B317" s="7"/>
      <c r="C317" s="7"/>
      <c r="D317" s="7"/>
      <c r="E317" s="7"/>
      <c r="F317" s="7"/>
      <c r="G317" s="7"/>
      <c r="H317" s="7"/>
      <c r="I317" s="7"/>
      <c r="J317" s="7"/>
      <c r="K317" s="7"/>
    </row>
    <row r="318">
      <c r="A318" s="7"/>
      <c r="B318" s="7"/>
      <c r="C318" s="7"/>
      <c r="D318" s="7"/>
      <c r="E318" s="7"/>
      <c r="F318" s="7"/>
      <c r="G318" s="7"/>
      <c r="H318" s="7"/>
      <c r="I318" s="7"/>
      <c r="J318" s="7"/>
      <c r="K318" s="7"/>
    </row>
    <row r="319">
      <c r="A319" s="7"/>
      <c r="B319" s="7"/>
      <c r="C319" s="7"/>
      <c r="D319" s="7"/>
      <c r="E319" s="7"/>
      <c r="F319" s="7"/>
      <c r="G319" s="7"/>
      <c r="H319" s="7"/>
      <c r="I319" s="7"/>
      <c r="J319" s="7"/>
      <c r="K319" s="7"/>
    </row>
    <row r="320">
      <c r="A320" s="7"/>
      <c r="B320" s="7"/>
      <c r="C320" s="7"/>
      <c r="D320" s="7"/>
      <c r="E320" s="7"/>
      <c r="F320" s="7"/>
      <c r="G320" s="7"/>
      <c r="H320" s="7"/>
      <c r="I320" s="7"/>
      <c r="J320" s="7"/>
      <c r="K320" s="7"/>
    </row>
    <row r="321">
      <c r="A321" s="7"/>
      <c r="B321" s="7"/>
      <c r="C321" s="7"/>
      <c r="D321" s="7"/>
      <c r="E321" s="7"/>
      <c r="F321" s="7"/>
      <c r="G321" s="7"/>
      <c r="H321" s="7"/>
      <c r="I321" s="7"/>
      <c r="J321" s="7"/>
      <c r="K321" s="7"/>
    </row>
    <row r="322">
      <c r="A322" s="7"/>
      <c r="B322" s="7"/>
      <c r="C322" s="7"/>
      <c r="D322" s="7"/>
      <c r="E322" s="7"/>
      <c r="F322" s="7"/>
      <c r="G322" s="7"/>
      <c r="H322" s="7"/>
      <c r="I322" s="7"/>
      <c r="J322" s="7"/>
      <c r="K322" s="7"/>
    </row>
    <row r="323">
      <c r="A323" s="7"/>
      <c r="B323" s="7"/>
      <c r="C323" s="7"/>
      <c r="D323" s="7"/>
      <c r="E323" s="7"/>
      <c r="F323" s="7"/>
      <c r="G323" s="7"/>
      <c r="H323" s="7"/>
      <c r="I323" s="7"/>
      <c r="J323" s="7"/>
      <c r="K323" s="7"/>
    </row>
    <row r="324">
      <c r="A324" s="7"/>
      <c r="B324" s="7"/>
      <c r="C324" s="7"/>
      <c r="D324" s="7"/>
      <c r="E324" s="7"/>
      <c r="F324" s="7"/>
      <c r="G324" s="7"/>
      <c r="H324" s="7"/>
      <c r="I324" s="7"/>
      <c r="J324" s="7"/>
      <c r="K324" s="7"/>
    </row>
    <row r="325">
      <c r="A325" s="7"/>
      <c r="B325" s="7"/>
      <c r="C325" s="7"/>
      <c r="D325" s="7"/>
      <c r="E325" s="7"/>
      <c r="F325" s="7"/>
      <c r="G325" s="7"/>
      <c r="H325" s="7"/>
      <c r="I325" s="7"/>
      <c r="J325" s="7"/>
      <c r="K325" s="7"/>
    </row>
    <row r="326">
      <c r="A326" s="7"/>
      <c r="B326" s="7"/>
      <c r="C326" s="7"/>
      <c r="D326" s="7"/>
      <c r="E326" s="7"/>
      <c r="F326" s="7"/>
      <c r="G326" s="7"/>
      <c r="H326" s="7"/>
      <c r="I326" s="7"/>
      <c r="J326" s="7"/>
      <c r="K326" s="7"/>
    </row>
    <row r="327">
      <c r="A327" s="7"/>
      <c r="B327" s="7"/>
      <c r="C327" s="7"/>
      <c r="D327" s="7"/>
      <c r="E327" s="7"/>
      <c r="F327" s="7"/>
      <c r="G327" s="7"/>
      <c r="H327" s="7"/>
      <c r="I327" s="7"/>
      <c r="J327" s="7"/>
      <c r="K327" s="7"/>
    </row>
    <row r="328">
      <c r="A328" s="7"/>
      <c r="B328" s="7"/>
      <c r="C328" s="7"/>
      <c r="D328" s="7"/>
      <c r="E328" s="7"/>
      <c r="F328" s="7"/>
      <c r="G328" s="7"/>
      <c r="H328" s="7"/>
      <c r="I328" s="7"/>
      <c r="J328" s="7"/>
      <c r="K328" s="7"/>
    </row>
    <row r="329">
      <c r="A329" s="7"/>
      <c r="B329" s="7"/>
      <c r="C329" s="7"/>
      <c r="D329" s="7"/>
      <c r="E329" s="7"/>
      <c r="F329" s="7"/>
      <c r="G329" s="7"/>
      <c r="H329" s="7"/>
      <c r="I329" s="7"/>
      <c r="J329" s="7"/>
      <c r="K329" s="7"/>
    </row>
    <row r="330">
      <c r="A330" s="7"/>
      <c r="B330" s="7"/>
      <c r="C330" s="7"/>
      <c r="D330" s="7"/>
      <c r="E330" s="7"/>
      <c r="F330" s="7"/>
      <c r="G330" s="7"/>
      <c r="H330" s="7"/>
      <c r="I330" s="7"/>
      <c r="J330" s="7"/>
      <c r="K330" s="7"/>
    </row>
    <row r="331">
      <c r="A331" s="7"/>
      <c r="B331" s="7"/>
      <c r="C331" s="7"/>
      <c r="D331" s="7"/>
      <c r="E331" s="7"/>
      <c r="F331" s="7"/>
      <c r="G331" s="7"/>
      <c r="H331" s="7"/>
      <c r="I331" s="7"/>
      <c r="J331" s="7"/>
      <c r="K331" s="7"/>
    </row>
    <row r="332">
      <c r="A332" s="7"/>
      <c r="B332" s="7"/>
      <c r="C332" s="7"/>
      <c r="D332" s="7"/>
      <c r="E332" s="7"/>
      <c r="F332" s="7"/>
      <c r="G332" s="7"/>
      <c r="H332" s="7"/>
      <c r="I332" s="7"/>
      <c r="J332" s="7"/>
      <c r="K332" s="7"/>
    </row>
    <row r="333">
      <c r="A333" s="7"/>
      <c r="B333" s="7"/>
      <c r="C333" s="7"/>
      <c r="D333" s="7"/>
      <c r="E333" s="7"/>
      <c r="F333" s="7"/>
      <c r="G333" s="7"/>
      <c r="H333" s="7"/>
      <c r="I333" s="7"/>
      <c r="J333" s="7"/>
      <c r="K333" s="7"/>
    </row>
    <row r="334">
      <c r="A334" s="7"/>
      <c r="B334" s="7"/>
      <c r="C334" s="7"/>
      <c r="D334" s="7"/>
      <c r="E334" s="7"/>
      <c r="F334" s="7"/>
      <c r="G334" s="7"/>
      <c r="H334" s="7"/>
      <c r="I334" s="7"/>
      <c r="J334" s="7"/>
      <c r="K334" s="7"/>
    </row>
    <row r="335">
      <c r="A335" s="7"/>
      <c r="B335" s="7"/>
      <c r="C335" s="7"/>
      <c r="D335" s="7"/>
      <c r="E335" s="7"/>
      <c r="F335" s="7"/>
      <c r="G335" s="7"/>
      <c r="H335" s="7"/>
      <c r="I335" s="7"/>
      <c r="J335" s="7"/>
      <c r="K335" s="7"/>
    </row>
    <row r="336">
      <c r="A336" s="7"/>
      <c r="B336" s="7"/>
      <c r="C336" s="7"/>
      <c r="D336" s="7"/>
      <c r="E336" s="7"/>
      <c r="F336" s="7"/>
      <c r="G336" s="7"/>
      <c r="H336" s="7"/>
      <c r="I336" s="7"/>
      <c r="J336" s="7"/>
      <c r="K336" s="7"/>
    </row>
    <row r="337">
      <c r="A337" s="7"/>
      <c r="B337" s="7"/>
      <c r="C337" s="7"/>
      <c r="D337" s="7"/>
      <c r="E337" s="7"/>
      <c r="F337" s="7"/>
      <c r="G337" s="7"/>
      <c r="H337" s="7"/>
      <c r="I337" s="7"/>
      <c r="J337" s="7"/>
      <c r="K337" s="7"/>
    </row>
    <row r="338">
      <c r="A338" s="7"/>
      <c r="B338" s="7"/>
      <c r="C338" s="7"/>
      <c r="D338" s="7"/>
      <c r="E338" s="7"/>
      <c r="F338" s="7"/>
      <c r="G338" s="7"/>
      <c r="H338" s="7"/>
      <c r="I338" s="7"/>
      <c r="J338" s="7"/>
      <c r="K338" s="7"/>
    </row>
    <row r="339">
      <c r="A339" s="7"/>
      <c r="B339" s="7"/>
      <c r="C339" s="7"/>
      <c r="D339" s="7"/>
      <c r="E339" s="7"/>
      <c r="F339" s="7"/>
      <c r="G339" s="7"/>
      <c r="H339" s="7"/>
      <c r="I339" s="7"/>
      <c r="J339" s="7"/>
      <c r="K339" s="7"/>
    </row>
    <row r="340">
      <c r="A340" s="7"/>
      <c r="B340" s="7"/>
      <c r="C340" s="7"/>
      <c r="D340" s="7"/>
      <c r="E340" s="7"/>
      <c r="F340" s="7"/>
      <c r="G340" s="7"/>
      <c r="H340" s="7"/>
      <c r="I340" s="7"/>
      <c r="J340" s="7"/>
      <c r="K340" s="7"/>
    </row>
    <row r="341">
      <c r="A341" s="7"/>
      <c r="B341" s="7"/>
      <c r="C341" s="7"/>
      <c r="D341" s="7"/>
      <c r="E341" s="7"/>
      <c r="F341" s="7"/>
      <c r="G341" s="7"/>
      <c r="H341" s="7"/>
      <c r="I341" s="7"/>
      <c r="J341" s="7"/>
      <c r="K341" s="7"/>
    </row>
    <row r="342">
      <c r="A342" s="7"/>
      <c r="B342" s="7"/>
      <c r="C342" s="7"/>
      <c r="D342" s="7"/>
      <c r="E342" s="7"/>
      <c r="F342" s="7"/>
      <c r="G342" s="7"/>
      <c r="H342" s="7"/>
      <c r="I342" s="7"/>
      <c r="J342" s="7"/>
      <c r="K342" s="7"/>
    </row>
    <row r="343">
      <c r="A343" s="7"/>
      <c r="B343" s="7"/>
      <c r="C343" s="7"/>
      <c r="D343" s="7"/>
      <c r="E343" s="7"/>
      <c r="F343" s="7"/>
      <c r="G343" s="7"/>
      <c r="H343" s="7"/>
      <c r="I343" s="7"/>
      <c r="J343" s="7"/>
      <c r="K343" s="7"/>
    </row>
    <row r="344">
      <c r="A344" s="7"/>
      <c r="B344" s="7"/>
      <c r="C344" s="7"/>
      <c r="D344" s="7"/>
      <c r="E344" s="7"/>
      <c r="F344" s="7"/>
      <c r="G344" s="7"/>
      <c r="H344" s="7"/>
      <c r="I344" s="7"/>
      <c r="J344" s="7"/>
      <c r="K344" s="7"/>
    </row>
    <row r="345">
      <c r="A345" s="7"/>
      <c r="B345" s="7"/>
      <c r="C345" s="7"/>
      <c r="D345" s="7"/>
      <c r="E345" s="7"/>
      <c r="F345" s="7"/>
      <c r="G345" s="7"/>
      <c r="H345" s="7"/>
      <c r="I345" s="7"/>
      <c r="J345" s="7"/>
      <c r="K345" s="7"/>
    </row>
    <row r="346">
      <c r="A346" s="7"/>
      <c r="B346" s="7"/>
      <c r="C346" s="7"/>
      <c r="D346" s="7"/>
      <c r="E346" s="7"/>
      <c r="F346" s="7"/>
      <c r="G346" s="7"/>
      <c r="H346" s="7"/>
      <c r="I346" s="7"/>
      <c r="J346" s="7"/>
      <c r="K346" s="7"/>
    </row>
    <row r="347">
      <c r="A347" s="7"/>
      <c r="B347" s="7"/>
      <c r="C347" s="7"/>
      <c r="D347" s="7"/>
      <c r="E347" s="7"/>
      <c r="F347" s="7"/>
      <c r="G347" s="7"/>
      <c r="H347" s="7"/>
      <c r="I347" s="7"/>
      <c r="J347" s="7"/>
      <c r="K347" s="7"/>
    </row>
    <row r="348">
      <c r="A348" s="7"/>
      <c r="B348" s="7"/>
      <c r="C348" s="7"/>
      <c r="D348" s="7"/>
      <c r="E348" s="7"/>
      <c r="F348" s="7"/>
      <c r="G348" s="7"/>
      <c r="H348" s="7"/>
      <c r="I348" s="7"/>
      <c r="J348" s="7"/>
      <c r="K348" s="7"/>
    </row>
    <row r="349">
      <c r="A349" s="7"/>
      <c r="B349" s="7"/>
      <c r="C349" s="7"/>
      <c r="D349" s="7"/>
      <c r="E349" s="7"/>
      <c r="F349" s="7"/>
      <c r="G349" s="7"/>
      <c r="H349" s="7"/>
      <c r="I349" s="7"/>
      <c r="J349" s="7"/>
      <c r="K349" s="7"/>
    </row>
    <row r="350">
      <c r="A350" s="7"/>
      <c r="B350" s="7"/>
      <c r="C350" s="7"/>
      <c r="D350" s="7"/>
      <c r="E350" s="7"/>
      <c r="F350" s="7"/>
      <c r="G350" s="7"/>
      <c r="H350" s="7"/>
      <c r="I350" s="7"/>
      <c r="J350" s="7"/>
      <c r="K350" s="7"/>
    </row>
    <row r="351">
      <c r="A351" s="7"/>
      <c r="B351" s="7"/>
      <c r="C351" s="7"/>
      <c r="D351" s="7"/>
      <c r="E351" s="7"/>
      <c r="F351" s="7"/>
      <c r="G351" s="7"/>
      <c r="H351" s="7"/>
      <c r="I351" s="7"/>
      <c r="J351" s="7"/>
      <c r="K351" s="7"/>
    </row>
    <row r="352">
      <c r="A352" s="7"/>
      <c r="B352" s="7"/>
      <c r="C352" s="7"/>
      <c r="D352" s="7"/>
      <c r="E352" s="7"/>
      <c r="F352" s="7"/>
      <c r="G352" s="7"/>
      <c r="H352" s="7"/>
      <c r="I352" s="7"/>
      <c r="J352" s="7"/>
      <c r="K352" s="7"/>
    </row>
    <row r="353">
      <c r="A353" s="7"/>
      <c r="B353" s="7"/>
      <c r="C353" s="7"/>
      <c r="D353" s="7"/>
      <c r="E353" s="7"/>
      <c r="F353" s="7"/>
      <c r="G353" s="7"/>
      <c r="H353" s="7"/>
      <c r="I353" s="7"/>
      <c r="J353" s="7"/>
      <c r="K353" s="7"/>
    </row>
    <row r="354">
      <c r="A354" s="7"/>
      <c r="B354" s="7"/>
      <c r="C354" s="7"/>
      <c r="D354" s="7"/>
      <c r="E354" s="7"/>
      <c r="F354" s="7"/>
      <c r="G354" s="7"/>
      <c r="H354" s="7"/>
      <c r="I354" s="7"/>
      <c r="J354" s="7"/>
      <c r="K354" s="7"/>
    </row>
    <row r="355">
      <c r="A355" s="7"/>
      <c r="B355" s="7"/>
      <c r="C355" s="7"/>
      <c r="D355" s="7"/>
      <c r="E355" s="7"/>
      <c r="F355" s="7"/>
      <c r="G355" s="7"/>
      <c r="H355" s="7"/>
      <c r="I355" s="7"/>
      <c r="J355" s="7"/>
      <c r="K355" s="7"/>
    </row>
    <row r="356">
      <c r="A356" s="7"/>
      <c r="B356" s="7"/>
      <c r="C356" s="7"/>
      <c r="D356" s="7"/>
      <c r="E356" s="7"/>
      <c r="F356" s="7"/>
      <c r="G356" s="7"/>
      <c r="H356" s="7"/>
      <c r="I356" s="7"/>
      <c r="J356" s="7"/>
      <c r="K356" s="7"/>
    </row>
    <row r="357">
      <c r="A357" s="7"/>
      <c r="B357" s="7"/>
      <c r="C357" s="7"/>
      <c r="D357" s="7"/>
      <c r="E357" s="7"/>
      <c r="F357" s="7"/>
      <c r="G357" s="7"/>
      <c r="H357" s="7"/>
      <c r="I357" s="7"/>
      <c r="J357" s="7"/>
      <c r="K357" s="7"/>
    </row>
    <row r="358">
      <c r="A358" s="7"/>
      <c r="B358" s="7"/>
      <c r="C358" s="7"/>
      <c r="D358" s="7"/>
      <c r="E358" s="7"/>
      <c r="F358" s="7"/>
      <c r="G358" s="7"/>
      <c r="H358" s="7"/>
      <c r="I358" s="7"/>
      <c r="J358" s="7"/>
      <c r="K358" s="7"/>
    </row>
    <row r="359">
      <c r="A359" s="7"/>
      <c r="B359" s="7"/>
      <c r="C359" s="7"/>
      <c r="D359" s="7"/>
      <c r="E359" s="7"/>
      <c r="F359" s="7"/>
      <c r="G359" s="7"/>
      <c r="H359" s="7"/>
      <c r="I359" s="7"/>
      <c r="J359" s="7"/>
      <c r="K359" s="7"/>
    </row>
    <row r="360">
      <c r="A360" s="7"/>
      <c r="B360" s="7"/>
      <c r="C360" s="7"/>
      <c r="D360" s="7"/>
      <c r="E360" s="7"/>
      <c r="F360" s="7"/>
      <c r="G360" s="7"/>
      <c r="H360" s="7"/>
      <c r="I360" s="7"/>
      <c r="J360" s="7"/>
      <c r="K360" s="7"/>
    </row>
    <row r="361">
      <c r="A361" s="7"/>
      <c r="B361" s="7"/>
      <c r="C361" s="7"/>
      <c r="D361" s="7"/>
      <c r="E361" s="7"/>
      <c r="F361" s="7"/>
      <c r="G361" s="7"/>
      <c r="H361" s="7"/>
      <c r="I361" s="7"/>
      <c r="J361" s="7"/>
      <c r="K361" s="7"/>
    </row>
    <row r="362">
      <c r="A362" s="7"/>
      <c r="B362" s="7"/>
      <c r="C362" s="7"/>
      <c r="D362" s="7"/>
      <c r="E362" s="7"/>
      <c r="F362" s="7"/>
      <c r="G362" s="7"/>
      <c r="H362" s="7"/>
      <c r="I362" s="7"/>
      <c r="J362" s="7"/>
      <c r="K362" s="7"/>
    </row>
    <row r="363">
      <c r="A363" s="7"/>
      <c r="B363" s="7"/>
      <c r="C363" s="7"/>
      <c r="D363" s="7"/>
      <c r="E363" s="7"/>
      <c r="F363" s="7"/>
      <c r="G363" s="7"/>
      <c r="H363" s="7"/>
      <c r="I363" s="7"/>
      <c r="J363" s="7"/>
      <c r="K363" s="7"/>
    </row>
    <row r="364">
      <c r="A364" s="7"/>
      <c r="B364" s="7"/>
      <c r="C364" s="7"/>
      <c r="D364" s="7"/>
      <c r="E364" s="7"/>
      <c r="F364" s="7"/>
      <c r="G364" s="7"/>
      <c r="H364" s="7"/>
      <c r="I364" s="7"/>
      <c r="J364" s="7"/>
      <c r="K364" s="7"/>
    </row>
    <row r="365">
      <c r="A365" s="7"/>
      <c r="B365" s="7"/>
      <c r="C365" s="7"/>
      <c r="D365" s="7"/>
      <c r="E365" s="7"/>
      <c r="F365" s="7"/>
      <c r="G365" s="7"/>
      <c r="H365" s="7"/>
      <c r="I365" s="7"/>
      <c r="J365" s="7"/>
      <c r="K365" s="7"/>
    </row>
    <row r="366">
      <c r="A366" s="7"/>
      <c r="B366" s="7"/>
      <c r="C366" s="7"/>
      <c r="D366" s="7"/>
      <c r="E366" s="7"/>
      <c r="F366" s="7"/>
      <c r="G366" s="7"/>
      <c r="H366" s="7"/>
      <c r="I366" s="7"/>
      <c r="J366" s="7"/>
      <c r="K366" s="7"/>
    </row>
    <row r="367">
      <c r="A367" s="7"/>
      <c r="B367" s="7"/>
      <c r="C367" s="7"/>
      <c r="D367" s="7"/>
      <c r="E367" s="7"/>
      <c r="F367" s="7"/>
      <c r="G367" s="7"/>
      <c r="H367" s="7"/>
      <c r="I367" s="7"/>
      <c r="J367" s="7"/>
      <c r="K367" s="7"/>
    </row>
    <row r="368">
      <c r="A368" s="7"/>
      <c r="B368" s="7"/>
      <c r="C368" s="7"/>
      <c r="D368" s="7"/>
      <c r="E368" s="7"/>
      <c r="F368" s="7"/>
      <c r="G368" s="7"/>
      <c r="H368" s="7"/>
      <c r="I368" s="7"/>
      <c r="J368" s="7"/>
      <c r="K368" s="7"/>
    </row>
    <row r="369">
      <c r="A369" s="7"/>
      <c r="B369" s="7"/>
      <c r="C369" s="7"/>
      <c r="D369" s="7"/>
      <c r="E369" s="7"/>
      <c r="F369" s="7"/>
      <c r="G369" s="7"/>
      <c r="H369" s="7"/>
      <c r="I369" s="7"/>
      <c r="J369" s="7"/>
      <c r="K369" s="7"/>
    </row>
    <row r="370">
      <c r="A370" s="7"/>
      <c r="B370" s="7"/>
      <c r="C370" s="7"/>
      <c r="D370" s="7"/>
      <c r="E370" s="7"/>
      <c r="F370" s="7"/>
      <c r="G370" s="7"/>
      <c r="H370" s="7"/>
      <c r="I370" s="7"/>
      <c r="J370" s="7"/>
      <c r="K370" s="7"/>
    </row>
    <row r="371">
      <c r="A371" s="7"/>
      <c r="B371" s="7"/>
      <c r="C371" s="7"/>
      <c r="D371" s="7"/>
      <c r="E371" s="7"/>
      <c r="F371" s="7"/>
      <c r="G371" s="7"/>
      <c r="H371" s="7"/>
      <c r="I371" s="7"/>
      <c r="J371" s="7"/>
      <c r="K371" s="7"/>
    </row>
    <row r="372">
      <c r="A372" s="7"/>
      <c r="B372" s="7"/>
      <c r="C372" s="7"/>
      <c r="D372" s="7"/>
      <c r="E372" s="7"/>
      <c r="F372" s="7"/>
      <c r="G372" s="7"/>
      <c r="H372" s="7"/>
      <c r="I372" s="7"/>
      <c r="J372" s="7"/>
      <c r="K372" s="7"/>
    </row>
    <row r="373">
      <c r="A373" s="7"/>
      <c r="B373" s="7"/>
      <c r="C373" s="7"/>
      <c r="D373" s="7"/>
      <c r="E373" s="7"/>
      <c r="F373" s="7"/>
      <c r="G373" s="7"/>
      <c r="H373" s="7"/>
      <c r="I373" s="7"/>
      <c r="J373" s="7"/>
      <c r="K373" s="7"/>
    </row>
    <row r="374">
      <c r="A374" s="7"/>
      <c r="B374" s="7"/>
      <c r="C374" s="7"/>
      <c r="D374" s="7"/>
      <c r="E374" s="7"/>
      <c r="F374" s="7"/>
      <c r="G374" s="7"/>
      <c r="H374" s="7"/>
      <c r="I374" s="7"/>
      <c r="J374" s="7"/>
      <c r="K374" s="7"/>
    </row>
    <row r="375">
      <c r="A375" s="7"/>
      <c r="B375" s="7"/>
      <c r="C375" s="7"/>
      <c r="D375" s="7"/>
      <c r="E375" s="7"/>
      <c r="F375" s="7"/>
      <c r="G375" s="7"/>
      <c r="H375" s="7"/>
      <c r="I375" s="7"/>
      <c r="J375" s="7"/>
      <c r="K375" s="7"/>
    </row>
    <row r="376">
      <c r="A376" s="7"/>
      <c r="B376" s="7"/>
      <c r="C376" s="7"/>
      <c r="D376" s="7"/>
      <c r="E376" s="7"/>
      <c r="F376" s="7"/>
      <c r="G376" s="7"/>
      <c r="H376" s="7"/>
      <c r="I376" s="7"/>
      <c r="J376" s="7"/>
      <c r="K376" s="7"/>
    </row>
    <row r="377">
      <c r="A377" s="7"/>
      <c r="B377" s="7"/>
      <c r="C377" s="7"/>
      <c r="D377" s="7"/>
      <c r="E377" s="7"/>
      <c r="F377" s="7"/>
      <c r="G377" s="7"/>
      <c r="H377" s="7"/>
      <c r="I377" s="7"/>
      <c r="J377" s="7"/>
      <c r="K377" s="7"/>
    </row>
    <row r="378">
      <c r="A378" s="7"/>
      <c r="B378" s="7"/>
      <c r="C378" s="7"/>
      <c r="D378" s="7"/>
      <c r="E378" s="7"/>
      <c r="F378" s="7"/>
      <c r="G378" s="7"/>
      <c r="H378" s="7"/>
      <c r="I378" s="7"/>
      <c r="J378" s="7"/>
      <c r="K378" s="7"/>
    </row>
    <row r="379">
      <c r="A379" s="7"/>
      <c r="B379" s="7"/>
      <c r="C379" s="7"/>
      <c r="D379" s="7"/>
      <c r="E379" s="7"/>
      <c r="F379" s="7"/>
      <c r="G379" s="7"/>
      <c r="H379" s="7"/>
      <c r="I379" s="7"/>
      <c r="J379" s="7"/>
      <c r="K379" s="7"/>
    </row>
    <row r="380">
      <c r="A380" s="7"/>
      <c r="B380" s="7"/>
      <c r="C380" s="7"/>
      <c r="D380" s="7"/>
      <c r="E380" s="7"/>
      <c r="F380" s="7"/>
      <c r="G380" s="7"/>
      <c r="H380" s="7"/>
      <c r="I380" s="7"/>
      <c r="J380" s="7"/>
      <c r="K380" s="7"/>
    </row>
    <row r="381">
      <c r="A381" s="7"/>
      <c r="B381" s="7"/>
      <c r="C381" s="7"/>
      <c r="D381" s="7"/>
      <c r="E381" s="7"/>
      <c r="F381" s="7"/>
      <c r="G381" s="7"/>
      <c r="H381" s="7"/>
      <c r="I381" s="7"/>
      <c r="J381" s="7"/>
      <c r="K381" s="7"/>
    </row>
    <row r="382">
      <c r="A382" s="7"/>
      <c r="B382" s="7"/>
      <c r="C382" s="7"/>
      <c r="D382" s="7"/>
      <c r="E382" s="7"/>
      <c r="F382" s="7"/>
      <c r="G382" s="7"/>
      <c r="H382" s="7"/>
      <c r="I382" s="7"/>
      <c r="J382" s="7"/>
      <c r="K382" s="7"/>
    </row>
    <row r="383">
      <c r="A383" s="7"/>
      <c r="B383" s="7"/>
      <c r="C383" s="7"/>
      <c r="D383" s="7"/>
      <c r="E383" s="7"/>
      <c r="F383" s="7"/>
      <c r="G383" s="7"/>
      <c r="H383" s="7"/>
      <c r="I383" s="7"/>
      <c r="J383" s="7"/>
      <c r="K383" s="7"/>
    </row>
    <row r="384">
      <c r="A384" s="7"/>
      <c r="B384" s="7"/>
      <c r="C384" s="7"/>
      <c r="D384" s="7"/>
      <c r="E384" s="7"/>
      <c r="F384" s="7"/>
      <c r="G384" s="7"/>
      <c r="H384" s="7"/>
      <c r="I384" s="7"/>
      <c r="J384" s="7"/>
      <c r="K384" s="7"/>
    </row>
    <row r="385">
      <c r="A385" s="7"/>
      <c r="B385" s="7"/>
      <c r="C385" s="7"/>
      <c r="D385" s="7"/>
      <c r="E385" s="7"/>
      <c r="F385" s="7"/>
      <c r="G385" s="7"/>
      <c r="H385" s="7"/>
      <c r="I385" s="7"/>
      <c r="J385" s="7"/>
      <c r="K385" s="7"/>
    </row>
    <row r="386">
      <c r="A386" s="7"/>
      <c r="B386" s="7"/>
      <c r="C386" s="7"/>
      <c r="D386" s="7"/>
      <c r="E386" s="7"/>
      <c r="F386" s="7"/>
      <c r="G386" s="7"/>
      <c r="H386" s="7"/>
      <c r="I386" s="7"/>
      <c r="J386" s="7"/>
      <c r="K386" s="7"/>
    </row>
    <row r="387">
      <c r="A387" s="7"/>
      <c r="B387" s="7"/>
      <c r="C387" s="7"/>
      <c r="D387" s="7"/>
      <c r="E387" s="7"/>
      <c r="F387" s="7"/>
      <c r="G387" s="7"/>
      <c r="H387" s="7"/>
      <c r="I387" s="7"/>
      <c r="J387" s="7"/>
      <c r="K387" s="7"/>
    </row>
    <row r="388">
      <c r="A388" s="7"/>
      <c r="B388" s="7"/>
      <c r="C388" s="7"/>
      <c r="D388" s="7"/>
      <c r="E388" s="7"/>
      <c r="F388" s="7"/>
      <c r="G388" s="7"/>
      <c r="H388" s="7"/>
      <c r="I388" s="7"/>
      <c r="J388" s="7"/>
      <c r="K388" s="7"/>
    </row>
    <row r="389">
      <c r="A389" s="7"/>
      <c r="B389" s="7"/>
      <c r="C389" s="7"/>
      <c r="D389" s="7"/>
      <c r="E389" s="7"/>
      <c r="F389" s="7"/>
      <c r="G389" s="7"/>
      <c r="H389" s="7"/>
      <c r="I389" s="7"/>
      <c r="J389" s="7"/>
      <c r="K389" s="7"/>
    </row>
    <row r="390">
      <c r="A390" s="7"/>
      <c r="B390" s="7"/>
      <c r="C390" s="7"/>
      <c r="D390" s="7"/>
      <c r="E390" s="7"/>
      <c r="F390" s="7"/>
      <c r="G390" s="7"/>
      <c r="H390" s="7"/>
      <c r="I390" s="7"/>
      <c r="J390" s="7"/>
      <c r="K390" s="7"/>
    </row>
    <row r="391">
      <c r="A391" s="7"/>
      <c r="B391" s="7"/>
      <c r="C391" s="7"/>
      <c r="D391" s="7"/>
      <c r="E391" s="7"/>
      <c r="F391" s="7"/>
      <c r="G391" s="7"/>
      <c r="H391" s="7"/>
      <c r="I391" s="7"/>
      <c r="J391" s="7"/>
      <c r="K391" s="7"/>
    </row>
    <row r="392">
      <c r="A392" s="7"/>
      <c r="B392" s="7"/>
      <c r="C392" s="7"/>
      <c r="D392" s="7"/>
      <c r="E392" s="7"/>
      <c r="F392" s="7"/>
      <c r="G392" s="7"/>
      <c r="H392" s="7"/>
      <c r="I392" s="7"/>
      <c r="J392" s="7"/>
      <c r="K392" s="7"/>
    </row>
    <row r="393">
      <c r="A393" s="7"/>
      <c r="B393" s="7"/>
      <c r="C393" s="7"/>
      <c r="D393" s="7"/>
      <c r="E393" s="7"/>
      <c r="F393" s="7"/>
      <c r="G393" s="7"/>
      <c r="H393" s="7"/>
      <c r="I393" s="7"/>
      <c r="J393" s="7"/>
      <c r="K393" s="7"/>
    </row>
    <row r="394">
      <c r="A394" s="7"/>
      <c r="B394" s="7"/>
      <c r="C394" s="7"/>
      <c r="D394" s="7"/>
      <c r="E394" s="7"/>
      <c r="F394" s="7"/>
      <c r="G394" s="7"/>
      <c r="H394" s="7"/>
      <c r="I394" s="7"/>
      <c r="J394" s="7"/>
      <c r="K394" s="7"/>
    </row>
    <row r="395">
      <c r="A395" s="7"/>
      <c r="B395" s="7"/>
      <c r="C395" s="7"/>
      <c r="D395" s="7"/>
      <c r="E395" s="7"/>
      <c r="F395" s="7"/>
      <c r="G395" s="7"/>
      <c r="H395" s="7"/>
      <c r="I395" s="7"/>
      <c r="J395" s="7"/>
      <c r="K395" s="7"/>
    </row>
    <row r="396">
      <c r="A396" s="7"/>
      <c r="B396" s="7"/>
      <c r="C396" s="7"/>
      <c r="D396" s="7"/>
      <c r="E396" s="7"/>
      <c r="F396" s="7"/>
      <c r="G396" s="7"/>
      <c r="H396" s="7"/>
      <c r="I396" s="7"/>
      <c r="J396" s="7"/>
      <c r="K396" s="7"/>
    </row>
    <row r="397">
      <c r="A397" s="7"/>
      <c r="B397" s="7"/>
      <c r="C397" s="7"/>
      <c r="D397" s="7"/>
      <c r="E397" s="7"/>
      <c r="F397" s="7"/>
      <c r="G397" s="7"/>
      <c r="H397" s="7"/>
      <c r="I397" s="7"/>
      <c r="J397" s="7"/>
      <c r="K397" s="7"/>
    </row>
    <row r="398">
      <c r="A398" s="7"/>
      <c r="B398" s="7"/>
      <c r="C398" s="7"/>
      <c r="D398" s="7"/>
      <c r="E398" s="7"/>
      <c r="F398" s="7"/>
      <c r="G398" s="7"/>
      <c r="H398" s="7"/>
      <c r="I398" s="7"/>
      <c r="J398" s="7"/>
      <c r="K398" s="7"/>
    </row>
    <row r="399">
      <c r="A399" s="7"/>
      <c r="B399" s="7"/>
      <c r="C399" s="7"/>
      <c r="D399" s="7"/>
      <c r="E399" s="7"/>
      <c r="F399" s="7"/>
      <c r="G399" s="7"/>
      <c r="H399" s="7"/>
      <c r="I399" s="7"/>
      <c r="J399" s="7"/>
      <c r="K399" s="7"/>
    </row>
    <row r="400">
      <c r="A400" s="7"/>
      <c r="B400" s="7"/>
      <c r="C400" s="7"/>
      <c r="D400" s="7"/>
      <c r="E400" s="7"/>
      <c r="F400" s="7"/>
      <c r="G400" s="7"/>
      <c r="H400" s="7"/>
      <c r="I400" s="7"/>
      <c r="J400" s="7"/>
      <c r="K400" s="7"/>
    </row>
    <row r="401">
      <c r="A401" s="7"/>
      <c r="B401" s="7"/>
      <c r="C401" s="7"/>
      <c r="D401" s="7"/>
      <c r="E401" s="7"/>
      <c r="F401" s="7"/>
      <c r="G401" s="7"/>
      <c r="H401" s="7"/>
      <c r="I401" s="7"/>
      <c r="J401" s="7"/>
      <c r="K401" s="7"/>
    </row>
    <row r="402">
      <c r="A402" s="7"/>
      <c r="B402" s="7"/>
      <c r="C402" s="7"/>
      <c r="D402" s="7"/>
      <c r="E402" s="7"/>
      <c r="F402" s="7"/>
      <c r="G402" s="7"/>
      <c r="H402" s="7"/>
      <c r="I402" s="7"/>
      <c r="J402" s="7"/>
      <c r="K402" s="7"/>
    </row>
    <row r="403">
      <c r="A403" s="7"/>
      <c r="B403" s="7"/>
      <c r="C403" s="7"/>
      <c r="D403" s="7"/>
      <c r="E403" s="7"/>
      <c r="F403" s="7"/>
      <c r="G403" s="7"/>
      <c r="H403" s="7"/>
      <c r="I403" s="7"/>
      <c r="J403" s="7"/>
      <c r="K403" s="7"/>
    </row>
    <row r="404">
      <c r="A404" s="7"/>
      <c r="B404" s="7"/>
      <c r="C404" s="7"/>
      <c r="D404" s="7"/>
      <c r="E404" s="7"/>
      <c r="F404" s="7"/>
      <c r="G404" s="7"/>
      <c r="H404" s="7"/>
      <c r="I404" s="7"/>
      <c r="J404" s="7"/>
      <c r="K404" s="7"/>
    </row>
    <row r="405">
      <c r="A405" s="7"/>
      <c r="B405" s="7"/>
      <c r="C405" s="7"/>
      <c r="D405" s="7"/>
      <c r="E405" s="7"/>
      <c r="F405" s="7"/>
      <c r="G405" s="7"/>
      <c r="H405" s="7"/>
      <c r="I405" s="7"/>
      <c r="J405" s="7"/>
      <c r="K405" s="7"/>
    </row>
    <row r="406">
      <c r="A406" s="7"/>
      <c r="B406" s="7"/>
      <c r="C406" s="7"/>
      <c r="D406" s="7"/>
      <c r="E406" s="7"/>
      <c r="F406" s="7"/>
      <c r="G406" s="7"/>
      <c r="H406" s="7"/>
      <c r="I406" s="7"/>
      <c r="J406" s="7"/>
      <c r="K406" s="7"/>
    </row>
    <row r="407">
      <c r="A407" s="7"/>
      <c r="B407" s="7"/>
      <c r="C407" s="7"/>
      <c r="D407" s="7"/>
      <c r="E407" s="7"/>
      <c r="F407" s="7"/>
      <c r="G407" s="7"/>
      <c r="H407" s="7"/>
      <c r="I407" s="7"/>
      <c r="J407" s="7"/>
      <c r="K407" s="7"/>
    </row>
    <row r="408">
      <c r="A408" s="7"/>
      <c r="B408" s="7"/>
      <c r="C408" s="7"/>
      <c r="D408" s="7"/>
      <c r="E408" s="7"/>
      <c r="F408" s="7"/>
      <c r="G408" s="7"/>
      <c r="H408" s="7"/>
      <c r="I408" s="7"/>
      <c r="J408" s="7"/>
      <c r="K408" s="7"/>
    </row>
    <row r="409">
      <c r="A409" s="7"/>
      <c r="B409" s="7"/>
      <c r="C409" s="7"/>
      <c r="D409" s="7"/>
      <c r="E409" s="7"/>
      <c r="F409" s="7"/>
      <c r="G409" s="7"/>
      <c r="H409" s="7"/>
      <c r="I409" s="7"/>
      <c r="J409" s="7"/>
      <c r="K409" s="7"/>
    </row>
    <row r="410">
      <c r="A410" s="7"/>
      <c r="B410" s="7"/>
      <c r="C410" s="7"/>
      <c r="D410" s="7"/>
      <c r="E410" s="7"/>
      <c r="F410" s="7"/>
      <c r="G410" s="7"/>
      <c r="H410" s="7"/>
      <c r="I410" s="7"/>
      <c r="J410" s="7"/>
      <c r="K410" s="7"/>
    </row>
    <row r="411">
      <c r="A411" s="7"/>
      <c r="B411" s="7"/>
      <c r="C411" s="7"/>
      <c r="D411" s="7"/>
      <c r="E411" s="7"/>
      <c r="F411" s="7"/>
      <c r="G411" s="7"/>
      <c r="H411" s="7"/>
      <c r="I411" s="7"/>
      <c r="J411" s="7"/>
      <c r="K411" s="7"/>
    </row>
    <row r="412">
      <c r="A412" s="7"/>
      <c r="B412" s="7"/>
      <c r="C412" s="7"/>
      <c r="D412" s="7"/>
      <c r="E412" s="7"/>
      <c r="F412" s="7"/>
      <c r="G412" s="7"/>
      <c r="H412" s="7"/>
      <c r="I412" s="7"/>
      <c r="J412" s="7"/>
      <c r="K412" s="7"/>
    </row>
    <row r="413">
      <c r="A413" s="7"/>
      <c r="B413" s="7"/>
      <c r="C413" s="7"/>
      <c r="D413" s="7"/>
      <c r="E413" s="7"/>
      <c r="F413" s="7"/>
      <c r="G413" s="7"/>
      <c r="H413" s="7"/>
      <c r="I413" s="7"/>
      <c r="J413" s="7"/>
      <c r="K413" s="7"/>
    </row>
    <row r="414">
      <c r="A414" s="7"/>
      <c r="B414" s="7"/>
      <c r="C414" s="7"/>
      <c r="D414" s="7"/>
      <c r="E414" s="7"/>
      <c r="F414" s="7"/>
      <c r="G414" s="7"/>
      <c r="H414" s="7"/>
      <c r="I414" s="7"/>
      <c r="J414" s="7"/>
      <c r="K414" s="7"/>
    </row>
    <row r="415">
      <c r="A415" s="7"/>
      <c r="B415" s="7"/>
      <c r="C415" s="7"/>
      <c r="D415" s="7"/>
      <c r="E415" s="7"/>
      <c r="F415" s="7"/>
      <c r="G415" s="7"/>
      <c r="H415" s="7"/>
      <c r="I415" s="7"/>
      <c r="J415" s="7"/>
      <c r="K415" s="7"/>
    </row>
    <row r="416">
      <c r="A416" s="7"/>
      <c r="B416" s="7"/>
      <c r="C416" s="7"/>
      <c r="D416" s="7"/>
      <c r="E416" s="7"/>
      <c r="F416" s="7"/>
      <c r="G416" s="7"/>
      <c r="H416" s="7"/>
      <c r="I416" s="7"/>
      <c r="J416" s="7"/>
      <c r="K416" s="7"/>
    </row>
    <row r="417">
      <c r="A417" s="7"/>
      <c r="B417" s="7"/>
      <c r="C417" s="7"/>
      <c r="D417" s="7"/>
      <c r="E417" s="7"/>
      <c r="F417" s="7"/>
      <c r="G417" s="7"/>
      <c r="H417" s="7"/>
      <c r="I417" s="7"/>
      <c r="J417" s="7"/>
      <c r="K417" s="7"/>
    </row>
    <row r="418">
      <c r="A418" s="7"/>
      <c r="B418" s="7"/>
      <c r="C418" s="7"/>
      <c r="D418" s="7"/>
      <c r="E418" s="7"/>
      <c r="F418" s="7"/>
      <c r="G418" s="7"/>
      <c r="H418" s="7"/>
      <c r="I418" s="7"/>
      <c r="J418" s="7"/>
      <c r="K418" s="7"/>
    </row>
    <row r="419">
      <c r="A419" s="7"/>
      <c r="B419" s="7"/>
      <c r="C419" s="7"/>
      <c r="D419" s="7"/>
      <c r="E419" s="7"/>
      <c r="F419" s="7"/>
      <c r="G419" s="7"/>
      <c r="H419" s="7"/>
      <c r="I419" s="7"/>
      <c r="J419" s="7"/>
      <c r="K419" s="7"/>
    </row>
    <row r="420">
      <c r="A420" s="7"/>
      <c r="B420" s="7"/>
      <c r="C420" s="7"/>
      <c r="D420" s="7"/>
      <c r="E420" s="7"/>
      <c r="F420" s="7"/>
      <c r="G420" s="7"/>
      <c r="H420" s="7"/>
      <c r="I420" s="7"/>
      <c r="J420" s="7"/>
      <c r="K420" s="7"/>
    </row>
    <row r="421">
      <c r="A421" s="7"/>
      <c r="B421" s="7"/>
      <c r="C421" s="7"/>
      <c r="D421" s="7"/>
      <c r="E421" s="7"/>
      <c r="F421" s="7"/>
      <c r="G421" s="7"/>
      <c r="H421" s="7"/>
      <c r="I421" s="7"/>
      <c r="J421" s="7"/>
      <c r="K421" s="7"/>
    </row>
    <row r="422">
      <c r="A422" s="7"/>
      <c r="B422" s="7"/>
      <c r="C422" s="7"/>
      <c r="D422" s="7"/>
      <c r="E422" s="7"/>
      <c r="F422" s="7"/>
      <c r="G422" s="7"/>
      <c r="H422" s="7"/>
      <c r="I422" s="7"/>
      <c r="J422" s="7"/>
      <c r="K422" s="7"/>
    </row>
    <row r="423">
      <c r="A423" s="7"/>
      <c r="B423" s="7"/>
      <c r="C423" s="7"/>
      <c r="D423" s="7"/>
      <c r="E423" s="7"/>
      <c r="F423" s="7"/>
      <c r="G423" s="7"/>
      <c r="H423" s="7"/>
      <c r="I423" s="7"/>
      <c r="J423" s="7"/>
      <c r="K423" s="7"/>
    </row>
    <row r="424">
      <c r="A424" s="7"/>
      <c r="B424" s="7"/>
      <c r="C424" s="7"/>
      <c r="D424" s="7"/>
      <c r="E424" s="7"/>
      <c r="F424" s="7"/>
      <c r="G424" s="7"/>
      <c r="H424" s="7"/>
      <c r="I424" s="7"/>
      <c r="J424" s="7"/>
      <c r="K424" s="7"/>
    </row>
    <row r="425">
      <c r="A425" s="7"/>
      <c r="B425" s="7"/>
      <c r="C425" s="7"/>
      <c r="D425" s="7"/>
      <c r="E425" s="7"/>
      <c r="F425" s="7"/>
      <c r="G425" s="7"/>
      <c r="H425" s="7"/>
      <c r="I425" s="7"/>
      <c r="J425" s="7"/>
      <c r="K425" s="7"/>
    </row>
    <row r="426">
      <c r="A426" s="7"/>
      <c r="B426" s="7"/>
      <c r="C426" s="7"/>
      <c r="D426" s="7"/>
      <c r="E426" s="7"/>
      <c r="F426" s="7"/>
      <c r="G426" s="7"/>
      <c r="H426" s="7"/>
      <c r="I426" s="7"/>
      <c r="J426" s="7"/>
      <c r="K426" s="7"/>
    </row>
    <row r="427">
      <c r="A427" s="7"/>
      <c r="B427" s="7"/>
      <c r="C427" s="7"/>
      <c r="D427" s="7"/>
      <c r="E427" s="7"/>
      <c r="F427" s="7"/>
      <c r="G427" s="7"/>
      <c r="H427" s="7"/>
      <c r="I427" s="7"/>
      <c r="J427" s="7"/>
      <c r="K427" s="7"/>
    </row>
    <row r="428">
      <c r="A428" s="7"/>
      <c r="B428" s="7"/>
      <c r="C428" s="7"/>
      <c r="D428" s="7"/>
      <c r="E428" s="7"/>
      <c r="F428" s="7"/>
      <c r="G428" s="7"/>
      <c r="H428" s="7"/>
      <c r="I428" s="7"/>
      <c r="J428" s="7"/>
      <c r="K428" s="7"/>
    </row>
    <row r="429">
      <c r="A429" s="7"/>
      <c r="B429" s="7"/>
      <c r="C429" s="7"/>
      <c r="D429" s="7"/>
      <c r="E429" s="7"/>
      <c r="F429" s="7"/>
      <c r="G429" s="7"/>
      <c r="H429" s="7"/>
      <c r="I429" s="7"/>
      <c r="J429" s="7"/>
      <c r="K429" s="7"/>
    </row>
    <row r="430">
      <c r="A430" s="7"/>
      <c r="B430" s="7"/>
      <c r="C430" s="7"/>
      <c r="D430" s="7"/>
      <c r="E430" s="7"/>
      <c r="F430" s="7"/>
      <c r="G430" s="7"/>
      <c r="H430" s="7"/>
      <c r="I430" s="7"/>
      <c r="J430" s="7"/>
      <c r="K430" s="7"/>
    </row>
    <row r="431">
      <c r="A431" s="7"/>
      <c r="B431" s="7"/>
      <c r="C431" s="7"/>
      <c r="D431" s="7"/>
      <c r="E431" s="7"/>
      <c r="F431" s="7"/>
      <c r="G431" s="7"/>
      <c r="H431" s="7"/>
      <c r="I431" s="7"/>
      <c r="J431" s="7"/>
      <c r="K431" s="7"/>
    </row>
    <row r="432">
      <c r="A432" s="7"/>
      <c r="B432" s="7"/>
      <c r="C432" s="7"/>
      <c r="D432" s="7"/>
      <c r="E432" s="7"/>
      <c r="F432" s="7"/>
      <c r="G432" s="7"/>
      <c r="H432" s="7"/>
      <c r="I432" s="7"/>
      <c r="J432" s="7"/>
      <c r="K432" s="7"/>
    </row>
    <row r="433">
      <c r="A433" s="7"/>
      <c r="B433" s="7"/>
      <c r="C433" s="7"/>
      <c r="D433" s="7"/>
      <c r="E433" s="7"/>
      <c r="F433" s="7"/>
      <c r="G433" s="7"/>
      <c r="H433" s="7"/>
      <c r="I433" s="7"/>
      <c r="J433" s="7"/>
      <c r="K433" s="7"/>
    </row>
    <row r="434">
      <c r="A434" s="7"/>
      <c r="B434" s="7"/>
      <c r="C434" s="7"/>
      <c r="D434" s="7"/>
      <c r="E434" s="7"/>
      <c r="F434" s="7"/>
      <c r="G434" s="7"/>
      <c r="H434" s="7"/>
      <c r="I434" s="7"/>
      <c r="J434" s="7"/>
      <c r="K434" s="7"/>
    </row>
    <row r="435">
      <c r="A435" s="7"/>
      <c r="B435" s="7"/>
      <c r="C435" s="7"/>
      <c r="D435" s="7"/>
      <c r="E435" s="7"/>
      <c r="F435" s="7"/>
      <c r="G435" s="7"/>
      <c r="H435" s="7"/>
      <c r="I435" s="7"/>
      <c r="J435" s="7"/>
      <c r="K435" s="7"/>
    </row>
    <row r="436">
      <c r="A436" s="7"/>
      <c r="B436" s="7"/>
      <c r="C436" s="7"/>
      <c r="D436" s="7"/>
      <c r="E436" s="7"/>
      <c r="F436" s="7"/>
      <c r="G436" s="7"/>
      <c r="H436" s="7"/>
      <c r="I436" s="7"/>
      <c r="J436" s="7"/>
      <c r="K436" s="7"/>
    </row>
    <row r="437">
      <c r="A437" s="7"/>
      <c r="B437" s="7"/>
      <c r="C437" s="7"/>
      <c r="D437" s="7"/>
      <c r="E437" s="7"/>
      <c r="F437" s="7"/>
      <c r="G437" s="7"/>
      <c r="H437" s="7"/>
      <c r="I437" s="7"/>
      <c r="J437" s="7"/>
      <c r="K437" s="7"/>
    </row>
    <row r="438">
      <c r="A438" s="7"/>
      <c r="B438" s="7"/>
      <c r="C438" s="7"/>
      <c r="D438" s="7"/>
      <c r="E438" s="7"/>
      <c r="F438" s="7"/>
      <c r="G438" s="7"/>
      <c r="H438" s="7"/>
      <c r="I438" s="7"/>
      <c r="J438" s="7"/>
      <c r="K438" s="7"/>
    </row>
    <row r="439">
      <c r="A439" s="7"/>
      <c r="B439" s="7"/>
      <c r="C439" s="7"/>
      <c r="D439" s="7"/>
      <c r="E439" s="7"/>
      <c r="F439" s="7"/>
      <c r="G439" s="7"/>
      <c r="H439" s="7"/>
      <c r="I439" s="7"/>
      <c r="J439" s="7"/>
      <c r="K439" s="7"/>
    </row>
    <row r="440">
      <c r="A440" s="7"/>
      <c r="B440" s="7"/>
      <c r="C440" s="7"/>
      <c r="D440" s="7"/>
      <c r="E440" s="7"/>
      <c r="F440" s="7"/>
      <c r="G440" s="7"/>
      <c r="H440" s="7"/>
      <c r="I440" s="7"/>
      <c r="J440" s="7"/>
      <c r="K440" s="7"/>
    </row>
    <row r="441">
      <c r="A441" s="7"/>
      <c r="B441" s="7"/>
      <c r="C441" s="7"/>
      <c r="D441" s="7"/>
      <c r="E441" s="7"/>
      <c r="F441" s="7"/>
      <c r="G441" s="7"/>
      <c r="H441" s="7"/>
      <c r="I441" s="7"/>
      <c r="J441" s="7"/>
      <c r="K441" s="7"/>
    </row>
    <row r="442">
      <c r="A442" s="7"/>
      <c r="B442" s="7"/>
      <c r="C442" s="7"/>
      <c r="D442" s="7"/>
      <c r="E442" s="7"/>
      <c r="F442" s="7"/>
      <c r="G442" s="7"/>
      <c r="H442" s="7"/>
      <c r="I442" s="7"/>
      <c r="J442" s="7"/>
      <c r="K442" s="7"/>
    </row>
    <row r="443">
      <c r="A443" s="7"/>
      <c r="B443" s="7"/>
      <c r="C443" s="7"/>
      <c r="D443" s="7"/>
      <c r="E443" s="7"/>
      <c r="F443" s="7"/>
      <c r="G443" s="7"/>
      <c r="H443" s="7"/>
      <c r="I443" s="7"/>
      <c r="J443" s="7"/>
      <c r="K443" s="7"/>
    </row>
    <row r="444">
      <c r="A444" s="7"/>
      <c r="B444" s="7"/>
      <c r="C444" s="7"/>
      <c r="D444" s="7"/>
      <c r="E444" s="7"/>
      <c r="F444" s="7"/>
      <c r="G444" s="7"/>
      <c r="H444" s="7"/>
      <c r="I444" s="7"/>
      <c r="J444" s="7"/>
      <c r="K444" s="7"/>
    </row>
    <row r="445">
      <c r="A445" s="7"/>
      <c r="B445" s="7"/>
      <c r="C445" s="7"/>
      <c r="D445" s="7"/>
      <c r="E445" s="7"/>
      <c r="F445" s="7"/>
      <c r="G445" s="7"/>
      <c r="H445" s="7"/>
      <c r="I445" s="7"/>
      <c r="J445" s="7"/>
      <c r="K445" s="7"/>
    </row>
    <row r="446">
      <c r="A446" s="7"/>
      <c r="B446" s="7"/>
      <c r="C446" s="7"/>
      <c r="D446" s="7"/>
      <c r="E446" s="7"/>
      <c r="F446" s="7"/>
      <c r="G446" s="7"/>
      <c r="H446" s="7"/>
      <c r="I446" s="7"/>
      <c r="J446" s="7"/>
      <c r="K446" s="7"/>
    </row>
    <row r="447">
      <c r="A447" s="7"/>
      <c r="B447" s="7"/>
      <c r="C447" s="7"/>
      <c r="D447" s="7"/>
      <c r="E447" s="7"/>
      <c r="F447" s="7"/>
      <c r="G447" s="7"/>
      <c r="H447" s="7"/>
      <c r="I447" s="7"/>
      <c r="J447" s="7"/>
      <c r="K447" s="7"/>
    </row>
    <row r="448">
      <c r="A448" s="7"/>
      <c r="B448" s="7"/>
      <c r="C448" s="7"/>
      <c r="D448" s="7"/>
      <c r="E448" s="7"/>
      <c r="F448" s="7"/>
      <c r="G448" s="7"/>
      <c r="H448" s="7"/>
      <c r="I448" s="7"/>
      <c r="J448" s="7"/>
      <c r="K448" s="7"/>
    </row>
    <row r="449">
      <c r="A449" s="7"/>
      <c r="B449" s="7"/>
      <c r="C449" s="7"/>
      <c r="D449" s="7"/>
      <c r="E449" s="7"/>
      <c r="F449" s="7"/>
      <c r="G449" s="7"/>
      <c r="H449" s="7"/>
      <c r="I449" s="7"/>
      <c r="J449" s="7"/>
      <c r="K449" s="7"/>
    </row>
    <row r="450">
      <c r="A450" s="7"/>
      <c r="B450" s="7"/>
      <c r="C450" s="7"/>
      <c r="D450" s="7"/>
      <c r="E450" s="7"/>
      <c r="F450" s="7"/>
      <c r="G450" s="7"/>
      <c r="H450" s="7"/>
      <c r="I450" s="7"/>
      <c r="J450" s="7"/>
      <c r="K450" s="7"/>
    </row>
    <row r="451">
      <c r="A451" s="7"/>
      <c r="B451" s="7"/>
      <c r="C451" s="7"/>
      <c r="D451" s="7"/>
      <c r="E451" s="7"/>
      <c r="F451" s="7"/>
      <c r="G451" s="7"/>
      <c r="H451" s="7"/>
      <c r="I451" s="7"/>
      <c r="J451" s="7"/>
      <c r="K451" s="7"/>
    </row>
    <row r="452">
      <c r="A452" s="7"/>
      <c r="B452" s="7"/>
      <c r="C452" s="7"/>
      <c r="D452" s="7"/>
      <c r="E452" s="7"/>
      <c r="F452" s="7"/>
      <c r="G452" s="7"/>
      <c r="H452" s="7"/>
      <c r="I452" s="7"/>
      <c r="J452" s="7"/>
      <c r="K452" s="7"/>
    </row>
    <row r="453">
      <c r="A453" s="7"/>
      <c r="B453" s="7"/>
      <c r="C453" s="7"/>
      <c r="D453" s="7"/>
      <c r="E453" s="7"/>
      <c r="F453" s="7"/>
      <c r="G453" s="7"/>
      <c r="H453" s="7"/>
      <c r="I453" s="7"/>
      <c r="J453" s="7"/>
      <c r="K453" s="7"/>
    </row>
    <row r="454">
      <c r="A454" s="7"/>
      <c r="B454" s="7"/>
      <c r="C454" s="7"/>
      <c r="D454" s="7"/>
      <c r="E454" s="7"/>
      <c r="F454" s="7"/>
      <c r="G454" s="7"/>
      <c r="H454" s="7"/>
      <c r="I454" s="7"/>
      <c r="J454" s="7"/>
      <c r="K454" s="7"/>
    </row>
    <row r="455">
      <c r="A455" s="7"/>
      <c r="B455" s="7"/>
      <c r="C455" s="7"/>
      <c r="D455" s="7"/>
      <c r="E455" s="7"/>
      <c r="F455" s="7"/>
      <c r="G455" s="7"/>
      <c r="H455" s="7"/>
      <c r="I455" s="7"/>
      <c r="J455" s="7"/>
      <c r="K455" s="7"/>
    </row>
    <row r="456">
      <c r="A456" s="7"/>
      <c r="B456" s="7"/>
      <c r="C456" s="7"/>
      <c r="D456" s="7"/>
      <c r="E456" s="7"/>
      <c r="F456" s="7"/>
      <c r="G456" s="7"/>
      <c r="H456" s="7"/>
      <c r="I456" s="7"/>
      <c r="J456" s="7"/>
      <c r="K456" s="7"/>
    </row>
    <row r="457">
      <c r="A457" s="7"/>
      <c r="B457" s="7"/>
      <c r="C457" s="7"/>
      <c r="D457" s="7"/>
      <c r="E457" s="7"/>
      <c r="F457" s="7"/>
      <c r="G457" s="7"/>
      <c r="H457" s="7"/>
      <c r="I457" s="7"/>
      <c r="J457" s="7"/>
      <c r="K457" s="7"/>
    </row>
    <row r="458">
      <c r="A458" s="7"/>
      <c r="B458" s="7"/>
      <c r="C458" s="7"/>
      <c r="D458" s="7"/>
      <c r="E458" s="7"/>
      <c r="F458" s="7"/>
      <c r="G458" s="7"/>
      <c r="H458" s="7"/>
      <c r="I458" s="7"/>
      <c r="J458" s="7"/>
      <c r="K458" s="7"/>
    </row>
    <row r="459">
      <c r="A459" s="7"/>
      <c r="B459" s="7"/>
      <c r="C459" s="7"/>
      <c r="D459" s="7"/>
      <c r="E459" s="7"/>
      <c r="F459" s="7"/>
      <c r="G459" s="7"/>
      <c r="H459" s="7"/>
      <c r="I459" s="7"/>
      <c r="J459" s="7"/>
      <c r="K459" s="7"/>
    </row>
    <row r="460">
      <c r="A460" s="7"/>
      <c r="B460" s="7"/>
      <c r="C460" s="7"/>
      <c r="D460" s="7"/>
      <c r="E460" s="7"/>
      <c r="F460" s="7"/>
      <c r="G460" s="7"/>
      <c r="H460" s="7"/>
      <c r="I460" s="7"/>
      <c r="J460" s="7"/>
      <c r="K460" s="7"/>
    </row>
    <row r="461">
      <c r="A461" s="7"/>
      <c r="B461" s="7"/>
      <c r="C461" s="7"/>
      <c r="D461" s="7"/>
      <c r="E461" s="7"/>
      <c r="F461" s="7"/>
      <c r="G461" s="7"/>
      <c r="H461" s="7"/>
      <c r="I461" s="7"/>
      <c r="J461" s="7"/>
      <c r="K461" s="7"/>
    </row>
    <row r="462">
      <c r="A462" s="7"/>
      <c r="B462" s="7"/>
      <c r="C462" s="7"/>
      <c r="D462" s="7"/>
      <c r="E462" s="7"/>
      <c r="F462" s="7"/>
      <c r="G462" s="7"/>
      <c r="H462" s="7"/>
      <c r="I462" s="7"/>
      <c r="J462" s="7"/>
      <c r="K462" s="7"/>
    </row>
    <row r="463">
      <c r="A463" s="7"/>
      <c r="B463" s="7"/>
      <c r="C463" s="7"/>
      <c r="D463" s="7"/>
      <c r="E463" s="7"/>
      <c r="F463" s="7"/>
      <c r="G463" s="7"/>
      <c r="H463" s="7"/>
      <c r="I463" s="7"/>
      <c r="J463" s="7"/>
      <c r="K463" s="7"/>
    </row>
    <row r="464">
      <c r="A464" s="7"/>
      <c r="B464" s="7"/>
      <c r="C464" s="7"/>
      <c r="D464" s="7"/>
      <c r="E464" s="7"/>
      <c r="F464" s="7"/>
      <c r="G464" s="7"/>
      <c r="H464" s="7"/>
      <c r="I464" s="7"/>
      <c r="J464" s="7"/>
      <c r="K464" s="7"/>
    </row>
    <row r="465">
      <c r="A465" s="7"/>
      <c r="B465" s="7"/>
      <c r="C465" s="7"/>
      <c r="D465" s="7"/>
      <c r="E465" s="7"/>
      <c r="F465" s="7"/>
      <c r="G465" s="7"/>
      <c r="H465" s="7"/>
      <c r="I465" s="7"/>
      <c r="J465" s="7"/>
      <c r="K465" s="7"/>
    </row>
    <row r="466">
      <c r="A466" s="7"/>
      <c r="B466" s="7"/>
      <c r="C466" s="7"/>
      <c r="D466" s="7"/>
      <c r="E466" s="7"/>
      <c r="F466" s="7"/>
      <c r="G466" s="7"/>
      <c r="H466" s="7"/>
      <c r="I466" s="7"/>
      <c r="J466" s="7"/>
      <c r="K466" s="7"/>
    </row>
    <row r="467">
      <c r="A467" s="7"/>
      <c r="B467" s="7"/>
      <c r="C467" s="7"/>
      <c r="D467" s="7"/>
      <c r="E467" s="7"/>
      <c r="F467" s="7"/>
      <c r="G467" s="7"/>
      <c r="H467" s="7"/>
      <c r="I467" s="7"/>
      <c r="J467" s="7"/>
      <c r="K467" s="7"/>
    </row>
    <row r="468">
      <c r="A468" s="7"/>
      <c r="B468" s="7"/>
      <c r="C468" s="7"/>
      <c r="D468" s="7"/>
      <c r="E468" s="7"/>
      <c r="F468" s="7"/>
      <c r="G468" s="7"/>
      <c r="H468" s="7"/>
      <c r="I468" s="7"/>
      <c r="J468" s="7"/>
      <c r="K468" s="7"/>
    </row>
    <row r="469">
      <c r="A469" s="7"/>
      <c r="B469" s="7"/>
      <c r="C469" s="7"/>
      <c r="D469" s="7"/>
      <c r="E469" s="7"/>
      <c r="F469" s="7"/>
      <c r="G469" s="7"/>
      <c r="H469" s="7"/>
      <c r="I469" s="7"/>
      <c r="J469" s="7"/>
      <c r="K469" s="7"/>
    </row>
    <row r="470">
      <c r="A470" s="7"/>
      <c r="B470" s="7"/>
      <c r="C470" s="7"/>
      <c r="D470" s="7"/>
      <c r="E470" s="7"/>
      <c r="F470" s="7"/>
      <c r="G470" s="7"/>
      <c r="H470" s="7"/>
      <c r="I470" s="7"/>
      <c r="J470" s="7"/>
      <c r="K470" s="7"/>
    </row>
    <row r="471">
      <c r="A471" s="7"/>
      <c r="B471" s="7"/>
      <c r="C471" s="7"/>
      <c r="D471" s="7"/>
      <c r="E471" s="7"/>
      <c r="F471" s="7"/>
      <c r="G471" s="7"/>
      <c r="H471" s="7"/>
      <c r="I471" s="7"/>
      <c r="J471" s="7"/>
      <c r="K471" s="7"/>
    </row>
    <row r="472">
      <c r="A472" s="7"/>
      <c r="B472" s="7"/>
      <c r="C472" s="7"/>
      <c r="D472" s="7"/>
      <c r="E472" s="7"/>
      <c r="F472" s="7"/>
      <c r="G472" s="7"/>
      <c r="H472" s="7"/>
      <c r="I472" s="7"/>
      <c r="J472" s="7"/>
      <c r="K472" s="7"/>
    </row>
    <row r="473">
      <c r="A473" s="7"/>
      <c r="B473" s="7"/>
      <c r="C473" s="7"/>
      <c r="D473" s="7"/>
      <c r="E473" s="7"/>
      <c r="F473" s="7"/>
      <c r="G473" s="7"/>
      <c r="H473" s="7"/>
      <c r="I473" s="7"/>
      <c r="J473" s="7"/>
      <c r="K473" s="7"/>
    </row>
    <row r="474">
      <c r="A474" s="7"/>
      <c r="B474" s="7"/>
      <c r="C474" s="7"/>
      <c r="D474" s="7"/>
      <c r="E474" s="7"/>
      <c r="F474" s="7"/>
      <c r="G474" s="7"/>
      <c r="H474" s="7"/>
      <c r="I474" s="7"/>
      <c r="J474" s="7"/>
      <c r="K474" s="7"/>
    </row>
    <row r="475">
      <c r="A475" s="7"/>
      <c r="B475" s="7"/>
      <c r="C475" s="7"/>
      <c r="D475" s="7"/>
      <c r="E475" s="7"/>
      <c r="F475" s="7"/>
      <c r="G475" s="7"/>
      <c r="H475" s="7"/>
      <c r="I475" s="7"/>
      <c r="J475" s="7"/>
      <c r="K475" s="7"/>
    </row>
    <row r="476">
      <c r="A476" s="7"/>
      <c r="B476" s="7"/>
      <c r="C476" s="7"/>
      <c r="D476" s="7"/>
      <c r="E476" s="7"/>
      <c r="F476" s="7"/>
      <c r="G476" s="7"/>
      <c r="H476" s="7"/>
      <c r="I476" s="7"/>
      <c r="J476" s="7"/>
      <c r="K476" s="7"/>
    </row>
    <row r="477">
      <c r="A477" s="7"/>
      <c r="B477" s="7"/>
      <c r="C477" s="7"/>
      <c r="D477" s="7"/>
      <c r="E477" s="7"/>
      <c r="F477" s="7"/>
      <c r="G477" s="7"/>
      <c r="H477" s="7"/>
      <c r="I477" s="7"/>
      <c r="J477" s="7"/>
      <c r="K477" s="7"/>
    </row>
    <row r="478">
      <c r="A478" s="7"/>
      <c r="B478" s="7"/>
      <c r="C478" s="7"/>
      <c r="D478" s="7"/>
      <c r="E478" s="7"/>
      <c r="F478" s="7"/>
      <c r="G478" s="7"/>
      <c r="H478" s="7"/>
      <c r="I478" s="7"/>
      <c r="J478" s="7"/>
      <c r="K478" s="7"/>
    </row>
    <row r="479">
      <c r="A479" s="7"/>
      <c r="B479" s="7"/>
      <c r="C479" s="7"/>
      <c r="D479" s="7"/>
      <c r="E479" s="7"/>
      <c r="F479" s="7"/>
      <c r="G479" s="7"/>
      <c r="H479" s="7"/>
      <c r="I479" s="7"/>
      <c r="J479" s="7"/>
      <c r="K479" s="7"/>
    </row>
    <row r="480">
      <c r="A480" s="7"/>
      <c r="B480" s="7"/>
      <c r="C480" s="7"/>
      <c r="D480" s="7"/>
      <c r="E480" s="7"/>
      <c r="F480" s="7"/>
      <c r="G480" s="7"/>
      <c r="H480" s="7"/>
      <c r="I480" s="7"/>
      <c r="J480" s="7"/>
      <c r="K480" s="7"/>
    </row>
    <row r="481">
      <c r="A481" s="7"/>
      <c r="B481" s="7"/>
      <c r="C481" s="7"/>
      <c r="D481" s="7"/>
      <c r="E481" s="7"/>
      <c r="F481" s="7"/>
      <c r="G481" s="7"/>
      <c r="H481" s="7"/>
      <c r="I481" s="7"/>
      <c r="J481" s="7"/>
      <c r="K481" s="7"/>
    </row>
    <row r="482">
      <c r="A482" s="7"/>
      <c r="B482" s="7"/>
      <c r="C482" s="7"/>
      <c r="D482" s="7"/>
      <c r="E482" s="7"/>
      <c r="F482" s="7"/>
      <c r="G482" s="7"/>
      <c r="H482" s="7"/>
      <c r="I482" s="7"/>
      <c r="J482" s="7"/>
      <c r="K482" s="7"/>
    </row>
    <row r="483">
      <c r="A483" s="7"/>
      <c r="B483" s="7"/>
      <c r="C483" s="7"/>
      <c r="D483" s="7"/>
      <c r="E483" s="7"/>
      <c r="F483" s="7"/>
      <c r="G483" s="7"/>
      <c r="H483" s="7"/>
      <c r="I483" s="7"/>
      <c r="J483" s="7"/>
      <c r="K483" s="7"/>
    </row>
    <row r="484">
      <c r="A484" s="7"/>
      <c r="B484" s="7"/>
      <c r="C484" s="7"/>
      <c r="D484" s="7"/>
      <c r="E484" s="7"/>
      <c r="F484" s="7"/>
      <c r="G484" s="7"/>
      <c r="H484" s="7"/>
      <c r="I484" s="7"/>
      <c r="J484" s="7"/>
      <c r="K484" s="7"/>
    </row>
    <row r="485">
      <c r="A485" s="7"/>
      <c r="B485" s="7"/>
      <c r="C485" s="7"/>
      <c r="D485" s="7"/>
      <c r="E485" s="7"/>
      <c r="F485" s="7"/>
      <c r="G485" s="7"/>
      <c r="H485" s="7"/>
      <c r="I485" s="7"/>
      <c r="J485" s="7"/>
      <c r="K485" s="7"/>
    </row>
    <row r="486">
      <c r="A486" s="7"/>
      <c r="B486" s="7"/>
      <c r="C486" s="7"/>
      <c r="D486" s="7"/>
      <c r="E486" s="7"/>
      <c r="F486" s="7"/>
      <c r="G486" s="7"/>
      <c r="H486" s="7"/>
      <c r="I486" s="7"/>
      <c r="J486" s="7"/>
      <c r="K486" s="7"/>
    </row>
    <row r="487">
      <c r="A487" s="7"/>
      <c r="B487" s="7"/>
      <c r="C487" s="7"/>
      <c r="D487" s="7"/>
      <c r="E487" s="7"/>
      <c r="F487" s="7"/>
      <c r="G487" s="7"/>
      <c r="H487" s="7"/>
      <c r="I487" s="7"/>
      <c r="J487" s="7"/>
      <c r="K487" s="7"/>
    </row>
    <row r="488">
      <c r="A488" s="7"/>
      <c r="B488" s="7"/>
      <c r="C488" s="7"/>
      <c r="D488" s="7"/>
      <c r="E488" s="7"/>
      <c r="F488" s="7"/>
      <c r="G488" s="7"/>
      <c r="H488" s="7"/>
      <c r="I488" s="7"/>
      <c r="J488" s="7"/>
      <c r="K488" s="7"/>
    </row>
    <row r="489">
      <c r="A489" s="7"/>
      <c r="B489" s="7"/>
      <c r="C489" s="7"/>
      <c r="D489" s="7"/>
      <c r="E489" s="7"/>
      <c r="F489" s="7"/>
      <c r="G489" s="7"/>
      <c r="H489" s="7"/>
      <c r="I489" s="7"/>
      <c r="J489" s="7"/>
      <c r="K489" s="7"/>
    </row>
    <row r="490">
      <c r="A490" s="7"/>
      <c r="B490" s="7"/>
      <c r="C490" s="7"/>
      <c r="D490" s="7"/>
      <c r="E490" s="7"/>
      <c r="F490" s="7"/>
      <c r="G490" s="7"/>
      <c r="H490" s="7"/>
      <c r="I490" s="7"/>
      <c r="J490" s="7"/>
      <c r="K490" s="7"/>
    </row>
    <row r="491">
      <c r="A491" s="7"/>
      <c r="B491" s="7"/>
      <c r="C491" s="7"/>
      <c r="D491" s="7"/>
      <c r="E491" s="7"/>
      <c r="F491" s="7"/>
      <c r="G491" s="7"/>
      <c r="H491" s="7"/>
      <c r="I491" s="7"/>
      <c r="J491" s="7"/>
      <c r="K491" s="7"/>
    </row>
    <row r="492">
      <c r="A492" s="7"/>
      <c r="B492" s="7"/>
      <c r="C492" s="7"/>
      <c r="D492" s="7"/>
      <c r="E492" s="7"/>
      <c r="F492" s="7"/>
      <c r="G492" s="7"/>
      <c r="H492" s="7"/>
      <c r="I492" s="7"/>
      <c r="J492" s="7"/>
      <c r="K492" s="7"/>
    </row>
    <row r="493">
      <c r="A493" s="7"/>
      <c r="B493" s="7"/>
      <c r="C493" s="7"/>
      <c r="D493" s="7"/>
      <c r="E493" s="7"/>
      <c r="F493" s="7"/>
      <c r="G493" s="7"/>
      <c r="H493" s="7"/>
      <c r="I493" s="7"/>
      <c r="J493" s="7"/>
      <c r="K493" s="7"/>
    </row>
    <row r="494">
      <c r="A494" s="7"/>
      <c r="B494" s="7"/>
      <c r="C494" s="7"/>
      <c r="D494" s="7"/>
      <c r="E494" s="7"/>
      <c r="F494" s="7"/>
      <c r="G494" s="7"/>
      <c r="H494" s="7"/>
      <c r="I494" s="7"/>
      <c r="J494" s="7"/>
      <c r="K494" s="7"/>
    </row>
    <row r="495">
      <c r="A495" s="7"/>
      <c r="B495" s="7"/>
      <c r="C495" s="7"/>
      <c r="D495" s="7"/>
      <c r="E495" s="7"/>
      <c r="F495" s="7"/>
      <c r="G495" s="7"/>
      <c r="H495" s="7"/>
      <c r="I495" s="7"/>
      <c r="J495" s="7"/>
      <c r="K495" s="7"/>
    </row>
    <row r="496">
      <c r="A496" s="7"/>
      <c r="B496" s="7"/>
      <c r="C496" s="7"/>
      <c r="D496" s="7"/>
      <c r="E496" s="7"/>
      <c r="F496" s="7"/>
      <c r="G496" s="7"/>
      <c r="H496" s="7"/>
      <c r="I496" s="7"/>
      <c r="J496" s="7"/>
      <c r="K496" s="7"/>
    </row>
    <row r="497">
      <c r="A497" s="7"/>
      <c r="B497" s="7"/>
      <c r="C497" s="7"/>
      <c r="D497" s="7"/>
      <c r="E497" s="7"/>
      <c r="F497" s="7"/>
      <c r="G497" s="7"/>
      <c r="H497" s="7"/>
      <c r="I497" s="7"/>
      <c r="J497" s="7"/>
      <c r="K497" s="7"/>
    </row>
    <row r="498">
      <c r="A498" s="7"/>
      <c r="B498" s="7"/>
      <c r="C498" s="7"/>
      <c r="D498" s="7"/>
      <c r="E498" s="7"/>
      <c r="F498" s="7"/>
      <c r="G498" s="7"/>
      <c r="H498" s="7"/>
      <c r="I498" s="7"/>
      <c r="J498" s="7"/>
      <c r="K498" s="7"/>
    </row>
    <row r="499">
      <c r="A499" s="7"/>
      <c r="B499" s="7"/>
      <c r="C499" s="7"/>
      <c r="D499" s="7"/>
      <c r="E499" s="7"/>
      <c r="F499" s="7"/>
      <c r="G499" s="7"/>
      <c r="H499" s="7"/>
      <c r="I499" s="7"/>
      <c r="J499" s="7"/>
      <c r="K499" s="7"/>
    </row>
    <row r="500">
      <c r="A500" s="7"/>
      <c r="B500" s="7"/>
      <c r="C500" s="7"/>
      <c r="D500" s="7"/>
      <c r="E500" s="7"/>
      <c r="F500" s="7"/>
      <c r="G500" s="7"/>
      <c r="H500" s="7"/>
      <c r="I500" s="7"/>
      <c r="J500" s="7"/>
      <c r="K500" s="7"/>
    </row>
    <row r="501">
      <c r="A501" s="7"/>
      <c r="B501" s="7"/>
      <c r="C501" s="7"/>
      <c r="D501" s="7"/>
      <c r="E501" s="7"/>
      <c r="F501" s="7"/>
      <c r="G501" s="7"/>
      <c r="H501" s="7"/>
      <c r="I501" s="7"/>
      <c r="J501" s="7"/>
      <c r="K501" s="7"/>
    </row>
    <row r="502">
      <c r="A502" s="7"/>
      <c r="B502" s="7"/>
      <c r="C502" s="7"/>
      <c r="D502" s="7"/>
      <c r="E502" s="7"/>
      <c r="F502" s="7"/>
      <c r="G502" s="7"/>
      <c r="H502" s="7"/>
      <c r="I502" s="7"/>
      <c r="J502" s="7"/>
      <c r="K502" s="7"/>
    </row>
    <row r="503">
      <c r="A503" s="7"/>
      <c r="B503" s="7"/>
      <c r="C503" s="7"/>
      <c r="D503" s="7"/>
      <c r="E503" s="7"/>
      <c r="F503" s="7"/>
      <c r="G503" s="7"/>
      <c r="H503" s="7"/>
      <c r="I503" s="7"/>
      <c r="J503" s="7"/>
      <c r="K503" s="7"/>
    </row>
    <row r="504">
      <c r="A504" s="7"/>
      <c r="B504" s="7"/>
      <c r="C504" s="7"/>
      <c r="D504" s="7"/>
      <c r="E504" s="7"/>
      <c r="F504" s="7"/>
      <c r="G504" s="7"/>
      <c r="H504" s="7"/>
      <c r="I504" s="7"/>
      <c r="J504" s="7"/>
      <c r="K504" s="7"/>
    </row>
    <row r="505">
      <c r="A505" s="7"/>
      <c r="B505" s="7"/>
      <c r="C505" s="7"/>
      <c r="D505" s="7"/>
      <c r="E505" s="7"/>
      <c r="F505" s="7"/>
      <c r="G505" s="7"/>
      <c r="H505" s="7"/>
      <c r="I505" s="7"/>
      <c r="J505" s="7"/>
      <c r="K505" s="7"/>
    </row>
    <row r="506">
      <c r="A506" s="7"/>
      <c r="B506" s="7"/>
      <c r="C506" s="7"/>
      <c r="D506" s="7"/>
      <c r="E506" s="7"/>
      <c r="F506" s="7"/>
      <c r="G506" s="7"/>
      <c r="H506" s="7"/>
      <c r="I506" s="7"/>
      <c r="J506" s="7"/>
      <c r="K506" s="7"/>
    </row>
    <row r="507">
      <c r="A507" s="7"/>
      <c r="B507" s="7"/>
      <c r="C507" s="7"/>
      <c r="D507" s="7"/>
      <c r="E507" s="7"/>
      <c r="F507" s="7"/>
      <c r="G507" s="7"/>
      <c r="H507" s="7"/>
      <c r="I507" s="7"/>
      <c r="J507" s="7"/>
      <c r="K507" s="7"/>
    </row>
    <row r="508">
      <c r="A508" s="7"/>
      <c r="B508" s="7"/>
      <c r="C508" s="7"/>
      <c r="D508" s="7"/>
      <c r="E508" s="7"/>
      <c r="F508" s="7"/>
      <c r="G508" s="7"/>
      <c r="H508" s="7"/>
      <c r="I508" s="7"/>
      <c r="J508" s="7"/>
      <c r="K508" s="7"/>
    </row>
    <row r="509">
      <c r="A509" s="7"/>
      <c r="B509" s="7"/>
      <c r="C509" s="7"/>
      <c r="D509" s="7"/>
      <c r="E509" s="7"/>
      <c r="F509" s="7"/>
      <c r="G509" s="7"/>
      <c r="H509" s="7"/>
      <c r="I509" s="7"/>
      <c r="J509" s="7"/>
      <c r="K509" s="7"/>
    </row>
    <row r="510">
      <c r="A510" s="7"/>
      <c r="B510" s="7"/>
      <c r="C510" s="7"/>
      <c r="D510" s="7"/>
      <c r="E510" s="7"/>
      <c r="F510" s="7"/>
      <c r="G510" s="7"/>
      <c r="H510" s="7"/>
      <c r="I510" s="7"/>
      <c r="J510" s="7"/>
      <c r="K510" s="7"/>
    </row>
    <row r="511">
      <c r="A511" s="7"/>
      <c r="B511" s="7"/>
      <c r="C511" s="7"/>
      <c r="D511" s="7"/>
      <c r="E511" s="7"/>
      <c r="F511" s="7"/>
      <c r="G511" s="7"/>
      <c r="H511" s="7"/>
      <c r="I511" s="7"/>
      <c r="J511" s="7"/>
      <c r="K511" s="7"/>
    </row>
    <row r="512">
      <c r="A512" s="7"/>
      <c r="B512" s="7"/>
      <c r="C512" s="7"/>
      <c r="D512" s="7"/>
      <c r="E512" s="7"/>
      <c r="F512" s="7"/>
      <c r="G512" s="7"/>
      <c r="H512" s="7"/>
      <c r="I512" s="7"/>
      <c r="J512" s="7"/>
      <c r="K512" s="7"/>
    </row>
    <row r="513">
      <c r="A513" s="7"/>
      <c r="B513" s="7"/>
      <c r="C513" s="7"/>
      <c r="D513" s="7"/>
      <c r="E513" s="7"/>
      <c r="F513" s="7"/>
      <c r="G513" s="7"/>
      <c r="H513" s="7"/>
      <c r="I513" s="7"/>
      <c r="J513" s="7"/>
      <c r="K513" s="7"/>
    </row>
    <row r="514">
      <c r="A514" s="7"/>
      <c r="B514" s="7"/>
      <c r="C514" s="7"/>
      <c r="D514" s="7"/>
      <c r="E514" s="7"/>
      <c r="F514" s="7"/>
      <c r="G514" s="7"/>
      <c r="H514" s="7"/>
      <c r="I514" s="7"/>
      <c r="J514" s="7"/>
      <c r="K514" s="7"/>
    </row>
    <row r="515">
      <c r="A515" s="7"/>
      <c r="B515" s="7"/>
      <c r="C515" s="7"/>
      <c r="D515" s="7"/>
      <c r="E515" s="7"/>
      <c r="F515" s="7"/>
      <c r="G515" s="7"/>
      <c r="H515" s="7"/>
      <c r="I515" s="7"/>
      <c r="J515" s="7"/>
      <c r="K515" s="7"/>
    </row>
    <row r="516">
      <c r="A516" s="7"/>
      <c r="B516" s="7"/>
      <c r="C516" s="7"/>
      <c r="D516" s="7"/>
      <c r="E516" s="7"/>
      <c r="F516" s="7"/>
      <c r="G516" s="7"/>
      <c r="H516" s="7"/>
      <c r="I516" s="7"/>
      <c r="J516" s="7"/>
      <c r="K516" s="7"/>
    </row>
    <row r="517">
      <c r="A517" s="7"/>
      <c r="B517" s="7"/>
      <c r="C517" s="7"/>
      <c r="D517" s="7"/>
      <c r="E517" s="7"/>
      <c r="F517" s="7"/>
      <c r="G517" s="7"/>
      <c r="H517" s="7"/>
      <c r="I517" s="7"/>
      <c r="J517" s="7"/>
      <c r="K517" s="7"/>
    </row>
    <row r="518">
      <c r="A518" s="7"/>
      <c r="B518" s="7"/>
      <c r="C518" s="7"/>
      <c r="D518" s="7"/>
      <c r="E518" s="7"/>
      <c r="F518" s="7"/>
      <c r="G518" s="7"/>
      <c r="H518" s="7"/>
      <c r="I518" s="7"/>
      <c r="J518" s="7"/>
      <c r="K518" s="7"/>
    </row>
    <row r="519">
      <c r="A519" s="7"/>
      <c r="B519" s="7"/>
      <c r="C519" s="7"/>
      <c r="D519" s="7"/>
      <c r="E519" s="7"/>
      <c r="F519" s="7"/>
      <c r="G519" s="7"/>
      <c r="H519" s="7"/>
      <c r="I519" s="7"/>
      <c r="J519" s="7"/>
      <c r="K519" s="7"/>
    </row>
    <row r="520">
      <c r="A520" s="7"/>
      <c r="B520" s="7"/>
      <c r="C520" s="7"/>
      <c r="D520" s="7"/>
      <c r="E520" s="7"/>
      <c r="F520" s="7"/>
      <c r="G520" s="7"/>
      <c r="H520" s="7"/>
      <c r="I520" s="7"/>
      <c r="J520" s="7"/>
      <c r="K520" s="7"/>
    </row>
    <row r="521">
      <c r="A521" s="7"/>
      <c r="B521" s="7"/>
      <c r="C521" s="7"/>
      <c r="D521" s="7"/>
      <c r="E521" s="7"/>
      <c r="F521" s="7"/>
      <c r="G521" s="7"/>
      <c r="H521" s="7"/>
      <c r="I521" s="7"/>
      <c r="J521" s="7"/>
      <c r="K521" s="7"/>
    </row>
    <row r="522">
      <c r="A522" s="7"/>
      <c r="B522" s="7"/>
      <c r="C522" s="7"/>
      <c r="D522" s="7"/>
      <c r="E522" s="7"/>
      <c r="F522" s="7"/>
      <c r="G522" s="7"/>
      <c r="H522" s="7"/>
      <c r="I522" s="7"/>
      <c r="J522" s="7"/>
      <c r="K522" s="7"/>
    </row>
    <row r="523">
      <c r="A523" s="7"/>
      <c r="B523" s="7"/>
      <c r="C523" s="7"/>
      <c r="D523" s="7"/>
      <c r="E523" s="7"/>
      <c r="F523" s="7"/>
      <c r="G523" s="7"/>
      <c r="H523" s="7"/>
      <c r="I523" s="7"/>
      <c r="J523" s="7"/>
      <c r="K523" s="7"/>
    </row>
    <row r="524">
      <c r="A524" s="7"/>
      <c r="B524" s="7"/>
      <c r="C524" s="7"/>
      <c r="D524" s="7"/>
      <c r="E524" s="7"/>
      <c r="F524" s="7"/>
      <c r="G524" s="7"/>
      <c r="H524" s="7"/>
      <c r="I524" s="7"/>
      <c r="J524" s="7"/>
      <c r="K524" s="7"/>
    </row>
    <row r="525">
      <c r="A525" s="7"/>
      <c r="B525" s="7"/>
      <c r="C525" s="7"/>
      <c r="D525" s="7"/>
      <c r="E525" s="7"/>
      <c r="F525" s="7"/>
      <c r="G525" s="7"/>
      <c r="H525" s="7"/>
      <c r="I525" s="7"/>
      <c r="J525" s="7"/>
      <c r="K525" s="7"/>
    </row>
    <row r="526">
      <c r="A526" s="7"/>
      <c r="B526" s="7"/>
      <c r="C526" s="7"/>
      <c r="D526" s="7"/>
      <c r="E526" s="7"/>
      <c r="F526" s="7"/>
      <c r="G526" s="7"/>
      <c r="H526" s="7"/>
      <c r="I526" s="7"/>
      <c r="J526" s="7"/>
      <c r="K526" s="7"/>
    </row>
    <row r="527">
      <c r="A527" s="7"/>
      <c r="B527" s="7"/>
      <c r="C527" s="7"/>
      <c r="D527" s="7"/>
      <c r="E527" s="7"/>
      <c r="F527" s="7"/>
      <c r="G527" s="7"/>
      <c r="H527" s="7"/>
      <c r="I527" s="7"/>
      <c r="J527" s="7"/>
      <c r="K527" s="7"/>
    </row>
    <row r="528">
      <c r="A528" s="7"/>
      <c r="B528" s="7"/>
      <c r="C528" s="7"/>
      <c r="D528" s="7"/>
      <c r="E528" s="7"/>
      <c r="F528" s="7"/>
      <c r="G528" s="7"/>
      <c r="H528" s="7"/>
      <c r="I528" s="7"/>
      <c r="J528" s="7"/>
      <c r="K528" s="7"/>
    </row>
    <row r="529">
      <c r="A529" s="7"/>
      <c r="B529" s="7"/>
      <c r="C529" s="7"/>
      <c r="D529" s="7"/>
      <c r="E529" s="7"/>
      <c r="F529" s="7"/>
      <c r="G529" s="7"/>
      <c r="H529" s="7"/>
      <c r="I529" s="7"/>
      <c r="J529" s="7"/>
      <c r="K529" s="7"/>
    </row>
    <row r="530">
      <c r="A530" s="7"/>
      <c r="B530" s="7"/>
      <c r="C530" s="7"/>
      <c r="D530" s="7"/>
      <c r="E530" s="7"/>
      <c r="F530" s="7"/>
      <c r="G530" s="7"/>
      <c r="H530" s="7"/>
      <c r="I530" s="7"/>
      <c r="J530" s="7"/>
      <c r="K530" s="7"/>
    </row>
    <row r="531">
      <c r="A531" s="7"/>
      <c r="B531" s="7"/>
      <c r="C531" s="7"/>
      <c r="D531" s="7"/>
      <c r="E531" s="7"/>
      <c r="F531" s="7"/>
      <c r="G531" s="7"/>
      <c r="H531" s="7"/>
      <c r="I531" s="7"/>
      <c r="J531" s="7"/>
      <c r="K531" s="7"/>
    </row>
    <row r="532">
      <c r="A532" s="7"/>
      <c r="B532" s="7"/>
      <c r="C532" s="7"/>
      <c r="D532" s="7"/>
      <c r="E532" s="7"/>
      <c r="F532" s="7"/>
      <c r="G532" s="7"/>
      <c r="H532" s="7"/>
      <c r="I532" s="7"/>
      <c r="J532" s="7"/>
      <c r="K532" s="7"/>
    </row>
    <row r="533">
      <c r="A533" s="7"/>
      <c r="B533" s="7"/>
      <c r="C533" s="7"/>
      <c r="D533" s="7"/>
      <c r="E533" s="7"/>
      <c r="F533" s="7"/>
      <c r="G533" s="7"/>
      <c r="H533" s="7"/>
      <c r="I533" s="7"/>
      <c r="J533" s="7"/>
      <c r="K533" s="7"/>
    </row>
    <row r="534">
      <c r="A534" s="7"/>
      <c r="B534" s="7"/>
      <c r="C534" s="7"/>
      <c r="D534" s="7"/>
      <c r="E534" s="7"/>
      <c r="F534" s="7"/>
      <c r="G534" s="7"/>
      <c r="H534" s="7"/>
      <c r="I534" s="7"/>
      <c r="J534" s="7"/>
      <c r="K534" s="7"/>
    </row>
    <row r="535">
      <c r="A535" s="7"/>
      <c r="B535" s="7"/>
      <c r="C535" s="7"/>
      <c r="D535" s="7"/>
      <c r="E535" s="7"/>
      <c r="F535" s="7"/>
      <c r="G535" s="7"/>
      <c r="H535" s="7"/>
      <c r="I535" s="7"/>
      <c r="J535" s="7"/>
      <c r="K535" s="7"/>
    </row>
    <row r="536">
      <c r="A536" s="7"/>
      <c r="B536" s="7"/>
      <c r="C536" s="7"/>
      <c r="D536" s="7"/>
      <c r="E536" s="7"/>
      <c r="F536" s="7"/>
      <c r="G536" s="7"/>
      <c r="H536" s="7"/>
      <c r="I536" s="7"/>
      <c r="J536" s="7"/>
      <c r="K536" s="7"/>
    </row>
    <row r="537">
      <c r="A537" s="7"/>
      <c r="B537" s="7"/>
      <c r="C537" s="7"/>
      <c r="D537" s="7"/>
      <c r="E537" s="7"/>
      <c r="F537" s="7"/>
      <c r="G537" s="7"/>
      <c r="H537" s="7"/>
      <c r="I537" s="7"/>
      <c r="J537" s="7"/>
      <c r="K537" s="7"/>
    </row>
    <row r="538">
      <c r="A538" s="7"/>
      <c r="B538" s="7"/>
      <c r="C538" s="7"/>
      <c r="D538" s="7"/>
      <c r="E538" s="7"/>
      <c r="F538" s="7"/>
      <c r="G538" s="7"/>
      <c r="H538" s="7"/>
      <c r="I538" s="7"/>
      <c r="J538" s="7"/>
      <c r="K538" s="7"/>
    </row>
    <row r="539">
      <c r="A539" s="7"/>
      <c r="B539" s="7"/>
      <c r="C539" s="7"/>
      <c r="D539" s="7"/>
      <c r="E539" s="7"/>
      <c r="F539" s="7"/>
      <c r="G539" s="7"/>
      <c r="H539" s="7"/>
      <c r="I539" s="7"/>
      <c r="J539" s="7"/>
      <c r="K539" s="7"/>
    </row>
    <row r="540">
      <c r="A540" s="7"/>
      <c r="B540" s="7"/>
      <c r="C540" s="7"/>
      <c r="D540" s="7"/>
      <c r="E540" s="7"/>
      <c r="F540" s="7"/>
      <c r="G540" s="7"/>
      <c r="H540" s="7"/>
      <c r="I540" s="7"/>
      <c r="J540" s="7"/>
      <c r="K540" s="7"/>
    </row>
    <row r="541">
      <c r="A541" s="7"/>
      <c r="B541" s="7"/>
      <c r="C541" s="7"/>
      <c r="D541" s="7"/>
      <c r="E541" s="7"/>
      <c r="F541" s="7"/>
      <c r="G541" s="7"/>
      <c r="H541" s="7"/>
      <c r="I541" s="7"/>
      <c r="J541" s="7"/>
      <c r="K541" s="7"/>
    </row>
    <row r="542">
      <c r="A542" s="7"/>
      <c r="B542" s="7"/>
      <c r="C542" s="7"/>
      <c r="D542" s="7"/>
      <c r="E542" s="7"/>
      <c r="F542" s="7"/>
      <c r="G542" s="7"/>
      <c r="H542" s="7"/>
      <c r="I542" s="7"/>
      <c r="J542" s="7"/>
      <c r="K542" s="7"/>
    </row>
    <row r="543">
      <c r="A543" s="7"/>
      <c r="B543" s="7"/>
      <c r="C543" s="7"/>
      <c r="D543" s="7"/>
      <c r="E543" s="7"/>
      <c r="F543" s="7"/>
      <c r="G543" s="7"/>
      <c r="H543" s="7"/>
      <c r="I543" s="7"/>
      <c r="J543" s="7"/>
      <c r="K543" s="7"/>
    </row>
    <row r="544">
      <c r="A544" s="7"/>
      <c r="B544" s="7"/>
      <c r="C544" s="7"/>
      <c r="D544" s="7"/>
      <c r="E544" s="7"/>
      <c r="F544" s="7"/>
      <c r="G544" s="7"/>
      <c r="H544" s="7"/>
      <c r="I544" s="7"/>
      <c r="J544" s="7"/>
      <c r="K544" s="7"/>
    </row>
    <row r="545">
      <c r="A545" s="7"/>
      <c r="B545" s="7"/>
      <c r="C545" s="7"/>
      <c r="D545" s="7"/>
      <c r="E545" s="7"/>
      <c r="F545" s="7"/>
      <c r="G545" s="7"/>
      <c r="H545" s="7"/>
      <c r="I545" s="7"/>
      <c r="J545" s="7"/>
      <c r="K545" s="7"/>
    </row>
    <row r="546">
      <c r="A546" s="7"/>
      <c r="B546" s="7"/>
      <c r="C546" s="7"/>
      <c r="D546" s="7"/>
      <c r="E546" s="7"/>
      <c r="F546" s="7"/>
      <c r="G546" s="7"/>
      <c r="H546" s="7"/>
      <c r="I546" s="7"/>
      <c r="J546" s="7"/>
      <c r="K546" s="7"/>
    </row>
    <row r="547">
      <c r="A547" s="7"/>
      <c r="B547" s="7"/>
      <c r="C547" s="7"/>
      <c r="D547" s="7"/>
      <c r="E547" s="7"/>
      <c r="F547" s="7"/>
      <c r="G547" s="7"/>
      <c r="H547" s="7"/>
      <c r="I547" s="7"/>
      <c r="J547" s="7"/>
      <c r="K547" s="7"/>
    </row>
    <row r="548">
      <c r="A548" s="7"/>
      <c r="B548" s="7"/>
      <c r="C548" s="7"/>
      <c r="D548" s="7"/>
      <c r="E548" s="7"/>
      <c r="F548" s="7"/>
      <c r="G548" s="7"/>
      <c r="H548" s="7"/>
      <c r="I548" s="7"/>
      <c r="J548" s="7"/>
      <c r="K548" s="7"/>
    </row>
    <row r="549">
      <c r="A549" s="7"/>
      <c r="B549" s="7"/>
      <c r="C549" s="7"/>
      <c r="D549" s="7"/>
      <c r="E549" s="7"/>
      <c r="F549" s="7"/>
      <c r="G549" s="7"/>
      <c r="H549" s="7"/>
      <c r="I549" s="7"/>
      <c r="J549" s="7"/>
      <c r="K549" s="7"/>
    </row>
    <row r="550">
      <c r="A550" s="7"/>
      <c r="B550" s="7"/>
      <c r="C550" s="7"/>
      <c r="D550" s="7"/>
      <c r="E550" s="7"/>
      <c r="F550" s="7"/>
      <c r="G550" s="7"/>
      <c r="H550" s="7"/>
      <c r="I550" s="7"/>
      <c r="J550" s="7"/>
      <c r="K550" s="7"/>
    </row>
    <row r="551">
      <c r="A551" s="7"/>
      <c r="B551" s="7"/>
      <c r="C551" s="7"/>
      <c r="D551" s="7"/>
      <c r="E551" s="7"/>
      <c r="F551" s="7"/>
      <c r="G551" s="7"/>
      <c r="H551" s="7"/>
      <c r="I551" s="7"/>
      <c r="J551" s="7"/>
      <c r="K551" s="7"/>
    </row>
    <row r="552">
      <c r="A552" s="7"/>
      <c r="B552" s="7"/>
      <c r="C552" s="7"/>
      <c r="D552" s="7"/>
      <c r="E552" s="7"/>
      <c r="F552" s="7"/>
      <c r="G552" s="7"/>
      <c r="H552" s="7"/>
      <c r="I552" s="7"/>
      <c r="J552" s="7"/>
      <c r="K552" s="7"/>
    </row>
    <row r="553">
      <c r="A553" s="7"/>
      <c r="B553" s="7"/>
      <c r="C553" s="7"/>
      <c r="D553" s="7"/>
      <c r="E553" s="7"/>
      <c r="F553" s="7"/>
      <c r="G553" s="7"/>
      <c r="H553" s="7"/>
      <c r="I553" s="7"/>
      <c r="J553" s="7"/>
      <c r="K553" s="7"/>
    </row>
    <row r="554">
      <c r="A554" s="7"/>
      <c r="B554" s="7"/>
      <c r="C554" s="7"/>
      <c r="D554" s="7"/>
      <c r="E554" s="7"/>
      <c r="F554" s="7"/>
      <c r="G554" s="7"/>
      <c r="H554" s="7"/>
      <c r="I554" s="7"/>
      <c r="J554" s="7"/>
      <c r="K554" s="7"/>
    </row>
    <row r="555">
      <c r="A555" s="7"/>
      <c r="B555" s="7"/>
      <c r="C555" s="7"/>
      <c r="D555" s="7"/>
      <c r="E555" s="7"/>
      <c r="F555" s="7"/>
      <c r="G555" s="7"/>
      <c r="H555" s="7"/>
      <c r="I555" s="7"/>
      <c r="J555" s="7"/>
      <c r="K555" s="7"/>
    </row>
    <row r="556">
      <c r="A556" s="7"/>
      <c r="B556" s="7"/>
      <c r="C556" s="7"/>
      <c r="D556" s="7"/>
      <c r="E556" s="7"/>
      <c r="F556" s="7"/>
      <c r="G556" s="7"/>
      <c r="H556" s="7"/>
      <c r="I556" s="7"/>
      <c r="J556" s="7"/>
      <c r="K556" s="7"/>
    </row>
    <row r="557">
      <c r="A557" s="7"/>
      <c r="B557" s="7"/>
      <c r="C557" s="7"/>
      <c r="D557" s="7"/>
      <c r="E557" s="7"/>
      <c r="F557" s="7"/>
      <c r="G557" s="7"/>
      <c r="H557" s="7"/>
      <c r="I557" s="7"/>
      <c r="J557" s="7"/>
      <c r="K557" s="7"/>
    </row>
    <row r="558">
      <c r="A558" s="7"/>
      <c r="B558" s="7"/>
      <c r="C558" s="7"/>
      <c r="D558" s="7"/>
      <c r="E558" s="7"/>
      <c r="F558" s="7"/>
      <c r="G558" s="7"/>
      <c r="H558" s="7"/>
      <c r="I558" s="7"/>
      <c r="J558" s="7"/>
      <c r="K558" s="7"/>
    </row>
    <row r="559">
      <c r="A559" s="7"/>
      <c r="B559" s="7"/>
      <c r="C559" s="7"/>
      <c r="D559" s="7"/>
      <c r="E559" s="7"/>
      <c r="F559" s="7"/>
      <c r="G559" s="7"/>
      <c r="H559" s="7"/>
      <c r="I559" s="7"/>
      <c r="J559" s="7"/>
      <c r="K559" s="7"/>
    </row>
    <row r="560">
      <c r="A560" s="7"/>
      <c r="B560" s="7"/>
      <c r="C560" s="7"/>
      <c r="D560" s="7"/>
      <c r="E560" s="7"/>
      <c r="F560" s="7"/>
      <c r="G560" s="7"/>
      <c r="H560" s="7"/>
      <c r="I560" s="7"/>
      <c r="J560" s="7"/>
      <c r="K560" s="7"/>
    </row>
    <row r="561">
      <c r="A561" s="7"/>
      <c r="B561" s="7"/>
      <c r="C561" s="7"/>
      <c r="D561" s="7"/>
      <c r="E561" s="7"/>
      <c r="F561" s="7"/>
      <c r="G561" s="7"/>
      <c r="H561" s="7"/>
      <c r="I561" s="7"/>
      <c r="J561" s="7"/>
      <c r="K561" s="7"/>
    </row>
    <row r="562">
      <c r="A562" s="7"/>
      <c r="B562" s="7"/>
      <c r="C562" s="7"/>
      <c r="D562" s="7"/>
      <c r="E562" s="7"/>
      <c r="F562" s="7"/>
      <c r="G562" s="7"/>
      <c r="H562" s="7"/>
      <c r="I562" s="7"/>
      <c r="J562" s="7"/>
      <c r="K562" s="7"/>
    </row>
    <row r="563">
      <c r="A563" s="7"/>
      <c r="B563" s="7"/>
      <c r="C563" s="7"/>
      <c r="D563" s="7"/>
      <c r="E563" s="7"/>
      <c r="F563" s="7"/>
      <c r="G563" s="7"/>
      <c r="H563" s="7"/>
      <c r="I563" s="7"/>
      <c r="J563" s="7"/>
      <c r="K563" s="7"/>
    </row>
    <row r="564">
      <c r="A564" s="7"/>
      <c r="B564" s="7"/>
      <c r="C564" s="7"/>
      <c r="D564" s="7"/>
      <c r="E564" s="7"/>
      <c r="F564" s="7"/>
      <c r="G564" s="7"/>
      <c r="H564" s="7"/>
      <c r="I564" s="7"/>
      <c r="J564" s="7"/>
      <c r="K564" s="7"/>
    </row>
    <row r="565">
      <c r="A565" s="7"/>
      <c r="B565" s="7"/>
      <c r="C565" s="7"/>
      <c r="D565" s="7"/>
      <c r="E565" s="7"/>
      <c r="F565" s="7"/>
      <c r="G565" s="7"/>
      <c r="H565" s="7"/>
      <c r="I565" s="7"/>
      <c r="J565" s="7"/>
      <c r="K565" s="7"/>
    </row>
    <row r="566">
      <c r="A566" s="7"/>
      <c r="B566" s="7"/>
      <c r="C566" s="7"/>
      <c r="D566" s="7"/>
      <c r="E566" s="7"/>
      <c r="F566" s="7"/>
      <c r="G566" s="7"/>
      <c r="H566" s="7"/>
      <c r="I566" s="7"/>
      <c r="J566" s="7"/>
      <c r="K566" s="7"/>
    </row>
    <row r="567">
      <c r="A567" s="7"/>
      <c r="B567" s="7"/>
      <c r="C567" s="7"/>
      <c r="D567" s="7"/>
      <c r="E567" s="7"/>
      <c r="F567" s="7"/>
      <c r="G567" s="7"/>
      <c r="H567" s="7"/>
      <c r="I567" s="7"/>
      <c r="J567" s="7"/>
      <c r="K567" s="7"/>
    </row>
    <row r="568">
      <c r="A568" s="7"/>
      <c r="B568" s="7"/>
      <c r="C568" s="7"/>
      <c r="D568" s="7"/>
      <c r="E568" s="7"/>
      <c r="F568" s="7"/>
      <c r="G568" s="7"/>
      <c r="H568" s="7"/>
      <c r="I568" s="7"/>
      <c r="J568" s="7"/>
      <c r="K568" s="7"/>
    </row>
    <row r="569">
      <c r="A569" s="7"/>
      <c r="B569" s="7"/>
      <c r="C569" s="7"/>
      <c r="D569" s="7"/>
      <c r="E569" s="7"/>
      <c r="F569" s="7"/>
      <c r="G569" s="7"/>
      <c r="H569" s="7"/>
      <c r="I569" s="7"/>
      <c r="J569" s="7"/>
      <c r="K569" s="7"/>
    </row>
    <row r="570">
      <c r="A570" s="7"/>
      <c r="B570" s="7"/>
      <c r="C570" s="7"/>
      <c r="D570" s="7"/>
      <c r="E570" s="7"/>
      <c r="F570" s="7"/>
      <c r="G570" s="7"/>
      <c r="H570" s="7"/>
      <c r="I570" s="7"/>
      <c r="J570" s="7"/>
      <c r="K570" s="7"/>
    </row>
    <row r="571">
      <c r="A571" s="7"/>
      <c r="B571" s="7"/>
      <c r="C571" s="7"/>
      <c r="D571" s="7"/>
      <c r="E571" s="7"/>
      <c r="F571" s="7"/>
      <c r="G571" s="7"/>
      <c r="H571" s="7"/>
      <c r="I571" s="7"/>
      <c r="J571" s="7"/>
      <c r="K571" s="7"/>
    </row>
    <row r="572">
      <c r="A572" s="7"/>
      <c r="B572" s="7"/>
      <c r="C572" s="7"/>
      <c r="D572" s="7"/>
      <c r="E572" s="7"/>
      <c r="F572" s="7"/>
      <c r="G572" s="7"/>
      <c r="H572" s="7"/>
      <c r="I572" s="7"/>
      <c r="J572" s="7"/>
      <c r="K572" s="7"/>
    </row>
    <row r="573">
      <c r="A573" s="7"/>
      <c r="B573" s="7"/>
      <c r="C573" s="7"/>
      <c r="D573" s="7"/>
      <c r="E573" s="7"/>
      <c r="F573" s="7"/>
      <c r="G573" s="7"/>
      <c r="H573" s="7"/>
      <c r="I573" s="7"/>
      <c r="J573" s="7"/>
      <c r="K573" s="7"/>
    </row>
    <row r="574">
      <c r="A574" s="7"/>
      <c r="B574" s="7"/>
      <c r="C574" s="7"/>
      <c r="D574" s="7"/>
      <c r="E574" s="7"/>
      <c r="F574" s="7"/>
      <c r="G574" s="7"/>
      <c r="H574" s="7"/>
      <c r="I574" s="7"/>
      <c r="J574" s="7"/>
      <c r="K574" s="7"/>
    </row>
    <row r="575">
      <c r="A575" s="7"/>
      <c r="B575" s="7"/>
      <c r="C575" s="7"/>
      <c r="D575" s="7"/>
      <c r="E575" s="7"/>
      <c r="F575" s="7"/>
      <c r="G575" s="7"/>
      <c r="H575" s="7"/>
      <c r="I575" s="7"/>
      <c r="J575" s="7"/>
      <c r="K575" s="7"/>
    </row>
    <row r="576">
      <c r="A576" s="7"/>
      <c r="B576" s="7"/>
      <c r="C576" s="7"/>
      <c r="D576" s="7"/>
      <c r="E576" s="7"/>
      <c r="F576" s="7"/>
      <c r="G576" s="7"/>
      <c r="H576" s="7"/>
      <c r="I576" s="7"/>
      <c r="J576" s="7"/>
      <c r="K576" s="7"/>
    </row>
    <row r="577">
      <c r="A577" s="7"/>
      <c r="B577" s="7"/>
      <c r="C577" s="7"/>
      <c r="D577" s="7"/>
      <c r="E577" s="7"/>
      <c r="F577" s="7"/>
      <c r="G577" s="7"/>
      <c r="H577" s="7"/>
      <c r="I577" s="7"/>
      <c r="J577" s="7"/>
      <c r="K577" s="7"/>
    </row>
    <row r="578">
      <c r="A578" s="7"/>
      <c r="B578" s="7"/>
      <c r="C578" s="7"/>
      <c r="D578" s="7"/>
      <c r="E578" s="7"/>
      <c r="F578" s="7"/>
      <c r="G578" s="7"/>
      <c r="H578" s="7"/>
      <c r="I578" s="7"/>
      <c r="J578" s="7"/>
      <c r="K578" s="7"/>
    </row>
    <row r="579">
      <c r="A579" s="7"/>
      <c r="B579" s="7"/>
      <c r="C579" s="7"/>
      <c r="D579" s="7"/>
      <c r="E579" s="7"/>
      <c r="F579" s="7"/>
      <c r="G579" s="7"/>
      <c r="H579" s="7"/>
      <c r="I579" s="7"/>
      <c r="J579" s="7"/>
      <c r="K579" s="7"/>
    </row>
    <row r="580">
      <c r="A580" s="7"/>
      <c r="B580" s="7"/>
      <c r="C580" s="7"/>
      <c r="D580" s="7"/>
      <c r="E580" s="7"/>
      <c r="F580" s="7"/>
      <c r="G580" s="7"/>
      <c r="H580" s="7"/>
      <c r="I580" s="7"/>
      <c r="J580" s="7"/>
      <c r="K580" s="7"/>
    </row>
    <row r="581">
      <c r="A581" s="7"/>
      <c r="B581" s="7"/>
      <c r="C581" s="7"/>
      <c r="D581" s="7"/>
      <c r="E581" s="7"/>
      <c r="F581" s="7"/>
      <c r="G581" s="7"/>
      <c r="H581" s="7"/>
      <c r="I581" s="7"/>
      <c r="J581" s="7"/>
      <c r="K581" s="7"/>
    </row>
    <row r="582">
      <c r="A582" s="7"/>
      <c r="B582" s="7"/>
      <c r="C582" s="7"/>
      <c r="D582" s="7"/>
      <c r="E582" s="7"/>
      <c r="F582" s="7"/>
      <c r="G582" s="7"/>
      <c r="H582" s="7"/>
      <c r="I582" s="7"/>
      <c r="J582" s="7"/>
      <c r="K582" s="7"/>
    </row>
    <row r="583">
      <c r="A583" s="7"/>
      <c r="B583" s="7"/>
      <c r="C583" s="7"/>
      <c r="D583" s="7"/>
      <c r="E583" s="7"/>
      <c r="F583" s="7"/>
      <c r="G583" s="7"/>
      <c r="H583" s="7"/>
      <c r="I583" s="7"/>
      <c r="J583" s="7"/>
      <c r="K583" s="7"/>
    </row>
    <row r="584">
      <c r="A584" s="7"/>
      <c r="B584" s="7"/>
      <c r="C584" s="7"/>
      <c r="D584" s="7"/>
      <c r="E584" s="7"/>
      <c r="F584" s="7"/>
      <c r="G584" s="7"/>
      <c r="H584" s="7"/>
      <c r="I584" s="7"/>
      <c r="J584" s="7"/>
      <c r="K584" s="7"/>
    </row>
    <row r="585">
      <c r="A585" s="7"/>
      <c r="B585" s="7"/>
      <c r="C585" s="7"/>
      <c r="D585" s="7"/>
      <c r="E585" s="7"/>
      <c r="F585" s="7"/>
      <c r="G585" s="7"/>
      <c r="H585" s="7"/>
      <c r="I585" s="7"/>
      <c r="J585" s="7"/>
      <c r="K585" s="7"/>
    </row>
    <row r="586">
      <c r="A586" s="7"/>
      <c r="B586" s="7"/>
      <c r="C586" s="7"/>
      <c r="D586" s="7"/>
      <c r="E586" s="7"/>
      <c r="F586" s="7"/>
      <c r="G586" s="7"/>
      <c r="H586" s="7"/>
      <c r="I586" s="7"/>
      <c r="J586" s="7"/>
      <c r="K586" s="7"/>
    </row>
    <row r="587">
      <c r="A587" s="7"/>
      <c r="B587" s="7"/>
      <c r="C587" s="7"/>
      <c r="D587" s="7"/>
      <c r="E587" s="7"/>
      <c r="F587" s="7"/>
      <c r="G587" s="7"/>
      <c r="H587" s="7"/>
      <c r="I587" s="7"/>
      <c r="J587" s="7"/>
      <c r="K587" s="7"/>
    </row>
    <row r="588">
      <c r="A588" s="7"/>
      <c r="B588" s="7"/>
      <c r="C588" s="7"/>
      <c r="D588" s="7"/>
      <c r="E588" s="7"/>
      <c r="F588" s="7"/>
      <c r="G588" s="7"/>
      <c r="H588" s="7"/>
      <c r="I588" s="7"/>
      <c r="J588" s="7"/>
      <c r="K588" s="7"/>
    </row>
    <row r="589">
      <c r="A589" s="7"/>
      <c r="B589" s="7"/>
      <c r="C589" s="7"/>
      <c r="D589" s="7"/>
      <c r="E589" s="7"/>
      <c r="F589" s="7"/>
      <c r="G589" s="7"/>
      <c r="H589" s="7"/>
      <c r="I589" s="7"/>
      <c r="J589" s="7"/>
      <c r="K589" s="7"/>
    </row>
    <row r="590">
      <c r="A590" s="7"/>
      <c r="B590" s="7"/>
      <c r="C590" s="7"/>
      <c r="D590" s="7"/>
      <c r="E590" s="7"/>
      <c r="F590" s="7"/>
      <c r="G590" s="7"/>
      <c r="H590" s="7"/>
      <c r="I590" s="7"/>
      <c r="J590" s="7"/>
      <c r="K590" s="7"/>
    </row>
    <row r="591">
      <c r="A591" s="7"/>
      <c r="B591" s="7"/>
      <c r="C591" s="7"/>
      <c r="D591" s="7"/>
      <c r="E591" s="7"/>
      <c r="F591" s="7"/>
      <c r="G591" s="7"/>
      <c r="H591" s="7"/>
      <c r="I591" s="7"/>
      <c r="J591" s="7"/>
      <c r="K591" s="7"/>
    </row>
    <row r="592">
      <c r="A592" s="7"/>
      <c r="B592" s="7"/>
      <c r="C592" s="7"/>
      <c r="D592" s="7"/>
      <c r="E592" s="7"/>
      <c r="F592" s="7"/>
      <c r="G592" s="7"/>
      <c r="H592" s="7"/>
      <c r="I592" s="7"/>
      <c r="J592" s="7"/>
      <c r="K592" s="7"/>
    </row>
    <row r="593">
      <c r="A593" s="7"/>
      <c r="B593" s="7"/>
      <c r="C593" s="7"/>
      <c r="D593" s="7"/>
      <c r="E593" s="7"/>
      <c r="F593" s="7"/>
      <c r="G593" s="7"/>
      <c r="H593" s="7"/>
      <c r="I593" s="7"/>
      <c r="J593" s="7"/>
      <c r="K593" s="7"/>
    </row>
    <row r="594">
      <c r="A594" s="7"/>
      <c r="B594" s="7"/>
      <c r="C594" s="7"/>
      <c r="D594" s="7"/>
      <c r="E594" s="7"/>
      <c r="F594" s="7"/>
      <c r="G594" s="7"/>
      <c r="H594" s="7"/>
      <c r="I594" s="7"/>
      <c r="J594" s="7"/>
      <c r="K594" s="7"/>
    </row>
    <row r="595">
      <c r="A595" s="7"/>
      <c r="B595" s="7"/>
      <c r="C595" s="7"/>
      <c r="D595" s="7"/>
      <c r="E595" s="7"/>
      <c r="F595" s="7"/>
      <c r="G595" s="7"/>
      <c r="H595" s="7"/>
      <c r="I595" s="7"/>
      <c r="J595" s="7"/>
      <c r="K595" s="7"/>
    </row>
    <row r="596">
      <c r="A596" s="7"/>
      <c r="B596" s="7"/>
      <c r="C596" s="7"/>
      <c r="D596" s="7"/>
      <c r="E596" s="7"/>
      <c r="F596" s="7"/>
      <c r="G596" s="7"/>
      <c r="H596" s="7"/>
      <c r="I596" s="7"/>
      <c r="J596" s="7"/>
      <c r="K596" s="7"/>
    </row>
    <row r="597">
      <c r="A597" s="7"/>
      <c r="B597" s="7"/>
      <c r="C597" s="7"/>
      <c r="D597" s="7"/>
      <c r="E597" s="7"/>
      <c r="F597" s="7"/>
      <c r="G597" s="7"/>
      <c r="H597" s="7"/>
      <c r="I597" s="7"/>
      <c r="J597" s="7"/>
      <c r="K597" s="7"/>
    </row>
    <row r="598">
      <c r="A598" s="7"/>
      <c r="B598" s="7"/>
      <c r="C598" s="7"/>
      <c r="D598" s="7"/>
      <c r="E598" s="7"/>
      <c r="F598" s="7"/>
      <c r="G598" s="7"/>
      <c r="H598" s="7"/>
      <c r="I598" s="7"/>
      <c r="J598" s="7"/>
      <c r="K598" s="7"/>
    </row>
    <row r="599">
      <c r="A599" s="7"/>
      <c r="B599" s="7"/>
      <c r="C599" s="7"/>
      <c r="D599" s="7"/>
      <c r="E599" s="7"/>
      <c r="F599" s="7"/>
      <c r="G599" s="7"/>
      <c r="H599" s="7"/>
      <c r="I599" s="7"/>
      <c r="J599" s="7"/>
      <c r="K599" s="7"/>
    </row>
    <row r="600">
      <c r="A600" s="7"/>
      <c r="B600" s="7"/>
      <c r="C600" s="7"/>
      <c r="D600" s="7"/>
      <c r="E600" s="7"/>
      <c r="F600" s="7"/>
      <c r="G600" s="7"/>
      <c r="H600" s="7"/>
      <c r="I600" s="7"/>
      <c r="J600" s="7"/>
      <c r="K600" s="7"/>
    </row>
    <row r="601">
      <c r="A601" s="7"/>
      <c r="B601" s="7"/>
      <c r="C601" s="7"/>
      <c r="D601" s="7"/>
      <c r="E601" s="7"/>
      <c r="F601" s="7"/>
      <c r="G601" s="7"/>
      <c r="H601" s="7"/>
      <c r="I601" s="7"/>
      <c r="J601" s="7"/>
      <c r="K601" s="7"/>
    </row>
    <row r="602">
      <c r="A602" s="7"/>
      <c r="B602" s="7"/>
      <c r="C602" s="7"/>
      <c r="D602" s="7"/>
      <c r="E602" s="7"/>
      <c r="F602" s="7"/>
      <c r="G602" s="7"/>
      <c r="H602" s="7"/>
      <c r="I602" s="7"/>
      <c r="J602" s="7"/>
      <c r="K602" s="7"/>
    </row>
    <row r="603">
      <c r="A603" s="7"/>
      <c r="B603" s="7"/>
      <c r="C603" s="7"/>
      <c r="D603" s="7"/>
      <c r="E603" s="7"/>
      <c r="F603" s="7"/>
      <c r="G603" s="7"/>
      <c r="H603" s="7"/>
      <c r="I603" s="7"/>
      <c r="J603" s="7"/>
      <c r="K603" s="7"/>
    </row>
    <row r="604">
      <c r="A604" s="7"/>
      <c r="B604" s="7"/>
      <c r="C604" s="7"/>
      <c r="D604" s="7"/>
      <c r="E604" s="7"/>
      <c r="F604" s="7"/>
      <c r="G604" s="7"/>
      <c r="H604" s="7"/>
      <c r="I604" s="7"/>
      <c r="J604" s="7"/>
      <c r="K604" s="7"/>
    </row>
    <row r="605">
      <c r="A605" s="7"/>
      <c r="B605" s="7"/>
      <c r="C605" s="7"/>
      <c r="D605" s="7"/>
      <c r="E605" s="7"/>
      <c r="F605" s="7"/>
      <c r="G605" s="7"/>
      <c r="H605" s="7"/>
      <c r="I605" s="7"/>
      <c r="J605" s="7"/>
      <c r="K605" s="7"/>
    </row>
    <row r="606">
      <c r="A606" s="7"/>
      <c r="B606" s="7"/>
      <c r="C606" s="7"/>
      <c r="D606" s="7"/>
      <c r="E606" s="7"/>
      <c r="F606" s="7"/>
      <c r="G606" s="7"/>
      <c r="H606" s="7"/>
      <c r="I606" s="7"/>
      <c r="J606" s="7"/>
      <c r="K606" s="7"/>
    </row>
    <row r="607">
      <c r="A607" s="7"/>
      <c r="B607" s="7"/>
      <c r="C607" s="7"/>
      <c r="D607" s="7"/>
      <c r="E607" s="7"/>
      <c r="F607" s="7"/>
      <c r="G607" s="7"/>
      <c r="H607" s="7"/>
      <c r="I607" s="7"/>
      <c r="J607" s="7"/>
      <c r="K607" s="7"/>
    </row>
    <row r="608">
      <c r="A608" s="7"/>
      <c r="B608" s="7"/>
      <c r="C608" s="7"/>
      <c r="D608" s="7"/>
      <c r="E608" s="7"/>
      <c r="F608" s="7"/>
      <c r="G608" s="7"/>
      <c r="H608" s="7"/>
      <c r="I608" s="7"/>
      <c r="J608" s="7"/>
      <c r="K608" s="7"/>
    </row>
    <row r="609">
      <c r="A609" s="7"/>
      <c r="B609" s="7"/>
      <c r="C609" s="7"/>
      <c r="D609" s="7"/>
      <c r="E609" s="7"/>
      <c r="F609" s="7"/>
      <c r="G609" s="7"/>
      <c r="H609" s="7"/>
      <c r="I609" s="7"/>
      <c r="J609" s="7"/>
      <c r="K609" s="7"/>
    </row>
    <row r="610">
      <c r="A610" s="7"/>
      <c r="B610" s="7"/>
      <c r="C610" s="7"/>
      <c r="D610" s="7"/>
      <c r="E610" s="7"/>
      <c r="F610" s="7"/>
      <c r="G610" s="7"/>
      <c r="H610" s="7"/>
      <c r="I610" s="7"/>
      <c r="J610" s="7"/>
      <c r="K610" s="7"/>
    </row>
    <row r="611">
      <c r="A611" s="7"/>
      <c r="B611" s="7"/>
      <c r="C611" s="7"/>
      <c r="D611" s="7"/>
      <c r="E611" s="7"/>
      <c r="F611" s="7"/>
      <c r="G611" s="7"/>
      <c r="H611" s="7"/>
      <c r="I611" s="7"/>
      <c r="J611" s="7"/>
      <c r="K611" s="7"/>
    </row>
    <row r="612">
      <c r="A612" s="7"/>
      <c r="B612" s="7"/>
      <c r="C612" s="7"/>
      <c r="D612" s="7"/>
      <c r="E612" s="7"/>
      <c r="F612" s="7"/>
      <c r="G612" s="7"/>
      <c r="H612" s="7"/>
      <c r="I612" s="7"/>
      <c r="J612" s="7"/>
      <c r="K612" s="7"/>
    </row>
    <row r="613">
      <c r="A613" s="7"/>
      <c r="B613" s="7"/>
      <c r="C613" s="7"/>
      <c r="D613" s="7"/>
      <c r="E613" s="7"/>
      <c r="F613" s="7"/>
      <c r="G613" s="7"/>
      <c r="H613" s="7"/>
      <c r="I613" s="7"/>
      <c r="J613" s="7"/>
      <c r="K613" s="7"/>
    </row>
    <row r="614">
      <c r="A614" s="7"/>
      <c r="B614" s="7"/>
      <c r="C614" s="7"/>
      <c r="D614" s="7"/>
      <c r="E614" s="7"/>
      <c r="F614" s="7"/>
      <c r="G614" s="7"/>
      <c r="H614" s="7"/>
      <c r="I614" s="7"/>
      <c r="J614" s="7"/>
      <c r="K614" s="7"/>
    </row>
    <row r="615">
      <c r="A615" s="7"/>
      <c r="B615" s="7"/>
      <c r="C615" s="7"/>
      <c r="D615" s="7"/>
      <c r="E615" s="7"/>
      <c r="F615" s="7"/>
      <c r="G615" s="7"/>
      <c r="H615" s="7"/>
      <c r="I615" s="7"/>
      <c r="J615" s="7"/>
      <c r="K615" s="7"/>
    </row>
    <row r="616">
      <c r="A616" s="7"/>
      <c r="B616" s="7"/>
      <c r="C616" s="7"/>
      <c r="D616" s="7"/>
      <c r="E616" s="7"/>
      <c r="F616" s="7"/>
      <c r="G616" s="7"/>
      <c r="H616" s="7"/>
      <c r="I616" s="7"/>
      <c r="J616" s="7"/>
      <c r="K616" s="7"/>
    </row>
    <row r="617">
      <c r="A617" s="7"/>
      <c r="B617" s="7"/>
      <c r="C617" s="7"/>
      <c r="D617" s="7"/>
      <c r="E617" s="7"/>
      <c r="F617" s="7"/>
      <c r="G617" s="7"/>
      <c r="H617" s="7"/>
      <c r="I617" s="7"/>
      <c r="J617" s="7"/>
      <c r="K617" s="7"/>
    </row>
    <row r="618">
      <c r="A618" s="7"/>
      <c r="B618" s="7"/>
      <c r="C618" s="7"/>
      <c r="D618" s="7"/>
      <c r="E618" s="7"/>
      <c r="F618" s="7"/>
      <c r="G618" s="7"/>
      <c r="H618" s="7"/>
      <c r="I618" s="7"/>
      <c r="J618" s="7"/>
      <c r="K618" s="7"/>
    </row>
    <row r="619">
      <c r="A619" s="7"/>
      <c r="B619" s="7"/>
      <c r="C619" s="7"/>
      <c r="D619" s="7"/>
      <c r="E619" s="7"/>
      <c r="F619" s="7"/>
      <c r="G619" s="7"/>
      <c r="H619" s="7"/>
      <c r="I619" s="7"/>
      <c r="J619" s="7"/>
      <c r="K619" s="7"/>
    </row>
    <row r="620">
      <c r="A620" s="7"/>
      <c r="B620" s="7"/>
      <c r="C620" s="7"/>
      <c r="D620" s="7"/>
      <c r="E620" s="7"/>
      <c r="F620" s="7"/>
      <c r="G620" s="7"/>
      <c r="H620" s="7"/>
      <c r="I620" s="7"/>
      <c r="J620" s="7"/>
      <c r="K620" s="7"/>
    </row>
    <row r="621">
      <c r="A621" s="7"/>
      <c r="B621" s="7"/>
      <c r="C621" s="7"/>
      <c r="D621" s="7"/>
      <c r="E621" s="7"/>
      <c r="F621" s="7"/>
      <c r="G621" s="7"/>
      <c r="H621" s="7"/>
      <c r="I621" s="7"/>
      <c r="J621" s="7"/>
      <c r="K621" s="7"/>
    </row>
    <row r="622">
      <c r="A622" s="7"/>
      <c r="B622" s="7"/>
      <c r="C622" s="7"/>
      <c r="D622" s="7"/>
      <c r="E622" s="7"/>
      <c r="F622" s="7"/>
      <c r="G622" s="7"/>
      <c r="H622" s="7"/>
      <c r="I622" s="7"/>
      <c r="J622" s="7"/>
      <c r="K622" s="7"/>
    </row>
    <row r="623">
      <c r="A623" s="7"/>
      <c r="B623" s="7"/>
      <c r="C623" s="7"/>
      <c r="D623" s="7"/>
      <c r="E623" s="7"/>
      <c r="F623" s="7"/>
      <c r="G623" s="7"/>
      <c r="H623" s="7"/>
      <c r="I623" s="7"/>
      <c r="J623" s="7"/>
      <c r="K623" s="7"/>
    </row>
    <row r="624">
      <c r="A624" s="7"/>
      <c r="B624" s="7"/>
      <c r="C624" s="7"/>
      <c r="D624" s="7"/>
      <c r="E624" s="7"/>
      <c r="F624" s="7"/>
      <c r="G624" s="7"/>
      <c r="H624" s="7"/>
      <c r="I624" s="7"/>
      <c r="J624" s="7"/>
      <c r="K624" s="7"/>
    </row>
    <row r="625">
      <c r="A625" s="7"/>
      <c r="B625" s="7"/>
      <c r="C625" s="7"/>
      <c r="D625" s="7"/>
      <c r="E625" s="7"/>
      <c r="F625" s="7"/>
      <c r="G625" s="7"/>
      <c r="H625" s="7"/>
      <c r="I625" s="7"/>
      <c r="J625" s="7"/>
      <c r="K625" s="7"/>
    </row>
    <row r="626">
      <c r="A626" s="7"/>
      <c r="B626" s="7"/>
      <c r="C626" s="7"/>
      <c r="D626" s="7"/>
      <c r="E626" s="7"/>
      <c r="F626" s="7"/>
      <c r="G626" s="7"/>
      <c r="H626" s="7"/>
      <c r="I626" s="7"/>
      <c r="J626" s="7"/>
      <c r="K626" s="7"/>
    </row>
    <row r="627">
      <c r="A627" s="7"/>
      <c r="B627" s="7"/>
      <c r="C627" s="7"/>
      <c r="D627" s="7"/>
      <c r="E627" s="7"/>
      <c r="F627" s="7"/>
      <c r="G627" s="7"/>
      <c r="H627" s="7"/>
      <c r="I627" s="7"/>
      <c r="J627" s="7"/>
      <c r="K627" s="7"/>
    </row>
    <row r="628">
      <c r="A628" s="7"/>
      <c r="B628" s="7"/>
      <c r="C628" s="7"/>
      <c r="D628" s="7"/>
      <c r="E628" s="7"/>
      <c r="F628" s="7"/>
      <c r="G628" s="7"/>
      <c r="H628" s="7"/>
      <c r="I628" s="7"/>
      <c r="J628" s="7"/>
      <c r="K628" s="7"/>
    </row>
    <row r="629">
      <c r="A629" s="7"/>
      <c r="B629" s="7"/>
      <c r="C629" s="7"/>
      <c r="D629" s="7"/>
      <c r="E629" s="7"/>
      <c r="F629" s="7"/>
      <c r="G629" s="7"/>
      <c r="H629" s="7"/>
      <c r="I629" s="7"/>
      <c r="J629" s="7"/>
      <c r="K629" s="7"/>
    </row>
    <row r="630">
      <c r="A630" s="7"/>
      <c r="B630" s="7"/>
      <c r="C630" s="7"/>
      <c r="D630" s="7"/>
      <c r="E630" s="7"/>
      <c r="F630" s="7"/>
      <c r="G630" s="7"/>
      <c r="H630" s="7"/>
      <c r="I630" s="7"/>
      <c r="J630" s="7"/>
      <c r="K630" s="7"/>
    </row>
    <row r="631">
      <c r="A631" s="7"/>
      <c r="B631" s="7"/>
      <c r="C631" s="7"/>
      <c r="D631" s="7"/>
      <c r="E631" s="7"/>
      <c r="F631" s="7"/>
      <c r="G631" s="7"/>
      <c r="H631" s="7"/>
      <c r="I631" s="7"/>
      <c r="J631" s="7"/>
      <c r="K631" s="7"/>
    </row>
    <row r="632">
      <c r="A632" s="7"/>
      <c r="B632" s="7"/>
      <c r="C632" s="7"/>
      <c r="D632" s="7"/>
      <c r="E632" s="7"/>
      <c r="F632" s="7"/>
      <c r="G632" s="7"/>
      <c r="H632" s="7"/>
      <c r="I632" s="7"/>
      <c r="J632" s="7"/>
      <c r="K632" s="7"/>
    </row>
    <row r="633">
      <c r="A633" s="7"/>
      <c r="B633" s="7"/>
      <c r="C633" s="7"/>
      <c r="D633" s="7"/>
      <c r="E633" s="7"/>
      <c r="F633" s="7"/>
      <c r="G633" s="7"/>
      <c r="H633" s="7"/>
      <c r="I633" s="7"/>
      <c r="J633" s="7"/>
      <c r="K633" s="7"/>
    </row>
    <row r="634">
      <c r="A634" s="7"/>
      <c r="B634" s="7"/>
      <c r="C634" s="7"/>
      <c r="D634" s="7"/>
      <c r="E634" s="7"/>
      <c r="F634" s="7"/>
      <c r="G634" s="7"/>
      <c r="H634" s="7"/>
      <c r="I634" s="7"/>
      <c r="J634" s="7"/>
      <c r="K634" s="7"/>
    </row>
    <row r="635">
      <c r="A635" s="7"/>
      <c r="B635" s="7"/>
      <c r="C635" s="7"/>
      <c r="D635" s="7"/>
      <c r="E635" s="7"/>
      <c r="F635" s="7"/>
      <c r="G635" s="7"/>
      <c r="H635" s="7"/>
      <c r="I635" s="7"/>
      <c r="J635" s="7"/>
      <c r="K635" s="7"/>
    </row>
    <row r="636">
      <c r="A636" s="7"/>
      <c r="B636" s="7"/>
      <c r="C636" s="7"/>
      <c r="D636" s="7"/>
      <c r="E636" s="7"/>
      <c r="F636" s="7"/>
      <c r="G636" s="7"/>
      <c r="H636" s="7"/>
      <c r="I636" s="7"/>
      <c r="J636" s="7"/>
      <c r="K636" s="7"/>
    </row>
    <row r="637">
      <c r="A637" s="7"/>
      <c r="B637" s="7"/>
      <c r="C637" s="7"/>
      <c r="D637" s="7"/>
      <c r="E637" s="7"/>
      <c r="F637" s="7"/>
      <c r="G637" s="7"/>
      <c r="H637" s="7"/>
      <c r="I637" s="7"/>
      <c r="J637" s="7"/>
      <c r="K637" s="7"/>
    </row>
    <row r="638">
      <c r="A638" s="7"/>
      <c r="B638" s="7"/>
      <c r="C638" s="7"/>
      <c r="D638" s="7"/>
      <c r="E638" s="7"/>
      <c r="F638" s="7"/>
      <c r="G638" s="7"/>
      <c r="H638" s="7"/>
      <c r="I638" s="7"/>
      <c r="J638" s="7"/>
      <c r="K638" s="7"/>
    </row>
    <row r="639">
      <c r="A639" s="7"/>
      <c r="B639" s="7"/>
      <c r="C639" s="7"/>
      <c r="D639" s="7"/>
      <c r="E639" s="7"/>
      <c r="F639" s="7"/>
      <c r="G639" s="7"/>
      <c r="H639" s="7"/>
      <c r="I639" s="7"/>
      <c r="J639" s="7"/>
      <c r="K639" s="7"/>
    </row>
    <row r="640">
      <c r="A640" s="7"/>
      <c r="B640" s="7"/>
      <c r="C640" s="7"/>
      <c r="D640" s="7"/>
      <c r="E640" s="7"/>
      <c r="F640" s="7"/>
      <c r="G640" s="7"/>
      <c r="H640" s="7"/>
      <c r="I640" s="7"/>
      <c r="J640" s="7"/>
      <c r="K640" s="7"/>
    </row>
    <row r="641">
      <c r="A641" s="7"/>
      <c r="B641" s="7"/>
      <c r="C641" s="7"/>
      <c r="D641" s="7"/>
      <c r="E641" s="7"/>
      <c r="F641" s="7"/>
      <c r="G641" s="7"/>
      <c r="H641" s="7"/>
      <c r="I641" s="7"/>
      <c r="J641" s="7"/>
      <c r="K641" s="7"/>
    </row>
    <row r="642">
      <c r="A642" s="7"/>
      <c r="B642" s="7"/>
      <c r="C642" s="7"/>
      <c r="D642" s="7"/>
      <c r="E642" s="7"/>
      <c r="F642" s="7"/>
      <c r="G642" s="7"/>
      <c r="H642" s="7"/>
      <c r="I642" s="7"/>
      <c r="J642" s="7"/>
      <c r="K642" s="7"/>
    </row>
    <row r="643">
      <c r="A643" s="7"/>
      <c r="B643" s="7"/>
      <c r="C643" s="7"/>
      <c r="D643" s="7"/>
      <c r="E643" s="7"/>
      <c r="F643" s="7"/>
      <c r="G643" s="7"/>
      <c r="H643" s="7"/>
      <c r="I643" s="7"/>
      <c r="J643" s="7"/>
      <c r="K643" s="7"/>
    </row>
    <row r="644">
      <c r="A644" s="7"/>
      <c r="B644" s="7"/>
      <c r="C644" s="7"/>
      <c r="D644" s="7"/>
      <c r="E644" s="7"/>
      <c r="F644" s="7"/>
      <c r="G644" s="7"/>
      <c r="H644" s="7"/>
      <c r="I644" s="7"/>
      <c r="J644" s="7"/>
      <c r="K644" s="7"/>
    </row>
    <row r="645">
      <c r="A645" s="7"/>
      <c r="B645" s="7"/>
      <c r="C645" s="7"/>
      <c r="D645" s="7"/>
      <c r="E645" s="7"/>
      <c r="F645" s="7"/>
      <c r="G645" s="7"/>
      <c r="H645" s="7"/>
      <c r="I645" s="7"/>
      <c r="J645" s="7"/>
      <c r="K645" s="7"/>
    </row>
    <row r="646">
      <c r="A646" s="7"/>
      <c r="B646" s="7"/>
      <c r="C646" s="7"/>
      <c r="D646" s="7"/>
      <c r="E646" s="7"/>
      <c r="F646" s="7"/>
      <c r="G646" s="7"/>
      <c r="H646" s="7"/>
      <c r="I646" s="7"/>
      <c r="J646" s="7"/>
      <c r="K646" s="7"/>
    </row>
    <row r="647">
      <c r="A647" s="7"/>
      <c r="B647" s="7"/>
      <c r="C647" s="7"/>
      <c r="D647" s="7"/>
      <c r="E647" s="7"/>
      <c r="F647" s="7"/>
      <c r="G647" s="7"/>
      <c r="H647" s="7"/>
      <c r="I647" s="7"/>
      <c r="J647" s="7"/>
      <c r="K647" s="7"/>
    </row>
    <row r="648">
      <c r="A648" s="7"/>
      <c r="B648" s="7"/>
      <c r="C648" s="7"/>
      <c r="D648" s="7"/>
      <c r="E648" s="7"/>
      <c r="F648" s="7"/>
      <c r="G648" s="7"/>
      <c r="H648" s="7"/>
      <c r="I648" s="7"/>
      <c r="J648" s="7"/>
      <c r="K648" s="7"/>
    </row>
    <row r="649">
      <c r="A649" s="7"/>
      <c r="B649" s="7"/>
      <c r="C649" s="7"/>
      <c r="D649" s="7"/>
      <c r="E649" s="7"/>
      <c r="F649" s="7"/>
      <c r="G649" s="7"/>
      <c r="H649" s="7"/>
      <c r="I649" s="7"/>
      <c r="J649" s="7"/>
      <c r="K649" s="7"/>
    </row>
    <row r="650">
      <c r="A650" s="7"/>
      <c r="B650" s="7"/>
      <c r="C650" s="7"/>
      <c r="D650" s="7"/>
      <c r="E650" s="7"/>
      <c r="F650" s="7"/>
      <c r="G650" s="7"/>
      <c r="H650" s="7"/>
      <c r="I650" s="7"/>
      <c r="J650" s="7"/>
      <c r="K650" s="7"/>
    </row>
    <row r="651">
      <c r="A651" s="7"/>
      <c r="B651" s="7"/>
      <c r="C651" s="7"/>
      <c r="D651" s="7"/>
      <c r="E651" s="7"/>
      <c r="F651" s="7"/>
      <c r="G651" s="7"/>
      <c r="H651" s="7"/>
      <c r="I651" s="7"/>
      <c r="J651" s="7"/>
      <c r="K651" s="7"/>
    </row>
    <row r="652">
      <c r="A652" s="7"/>
      <c r="B652" s="7"/>
      <c r="C652" s="7"/>
      <c r="D652" s="7"/>
      <c r="E652" s="7"/>
      <c r="F652" s="7"/>
      <c r="G652" s="7"/>
      <c r="H652" s="7"/>
      <c r="I652" s="7"/>
      <c r="J652" s="7"/>
      <c r="K652" s="7"/>
    </row>
    <row r="653">
      <c r="A653" s="7"/>
      <c r="B653" s="7"/>
      <c r="C653" s="7"/>
      <c r="D653" s="7"/>
      <c r="E653" s="7"/>
      <c r="F653" s="7"/>
      <c r="G653" s="7"/>
      <c r="H653" s="7"/>
      <c r="I653" s="7"/>
      <c r="J653" s="7"/>
      <c r="K653" s="7"/>
    </row>
    <row r="654">
      <c r="A654" s="7"/>
      <c r="B654" s="7"/>
      <c r="C654" s="7"/>
      <c r="D654" s="7"/>
      <c r="E654" s="7"/>
      <c r="F654" s="7"/>
      <c r="G654" s="7"/>
      <c r="H654" s="7"/>
      <c r="I654" s="7"/>
      <c r="J654" s="7"/>
      <c r="K654" s="7"/>
    </row>
    <row r="655">
      <c r="A655" s="7"/>
      <c r="B655" s="7"/>
      <c r="C655" s="7"/>
      <c r="D655" s="7"/>
      <c r="E655" s="7"/>
      <c r="F655" s="7"/>
      <c r="G655" s="7"/>
      <c r="H655" s="7"/>
      <c r="I655" s="7"/>
      <c r="J655" s="7"/>
      <c r="K655" s="7"/>
    </row>
    <row r="656">
      <c r="A656" s="7"/>
      <c r="B656" s="7"/>
      <c r="C656" s="7"/>
      <c r="D656" s="7"/>
      <c r="E656" s="7"/>
      <c r="F656" s="7"/>
      <c r="G656" s="7"/>
      <c r="H656" s="7"/>
      <c r="I656" s="7"/>
      <c r="J656" s="7"/>
      <c r="K656" s="7"/>
    </row>
    <row r="657">
      <c r="A657" s="7"/>
      <c r="B657" s="7"/>
      <c r="C657" s="7"/>
      <c r="D657" s="7"/>
      <c r="E657" s="7"/>
      <c r="F657" s="7"/>
      <c r="G657" s="7"/>
      <c r="H657" s="7"/>
      <c r="I657" s="7"/>
      <c r="J657" s="7"/>
      <c r="K657" s="7"/>
    </row>
    <row r="658">
      <c r="A658" s="7"/>
      <c r="B658" s="7"/>
      <c r="C658" s="7"/>
      <c r="D658" s="7"/>
      <c r="E658" s="7"/>
      <c r="F658" s="7"/>
      <c r="G658" s="7"/>
      <c r="H658" s="7"/>
      <c r="I658" s="7"/>
      <c r="J658" s="7"/>
      <c r="K658" s="7"/>
    </row>
    <row r="659">
      <c r="A659" s="7"/>
      <c r="B659" s="7"/>
      <c r="C659" s="7"/>
      <c r="D659" s="7"/>
      <c r="E659" s="7"/>
      <c r="F659" s="7"/>
      <c r="G659" s="7"/>
      <c r="H659" s="7"/>
      <c r="I659" s="7"/>
      <c r="J659" s="7"/>
      <c r="K659" s="7"/>
    </row>
    <row r="660">
      <c r="A660" s="7"/>
      <c r="B660" s="7"/>
      <c r="C660" s="7"/>
      <c r="D660" s="7"/>
      <c r="E660" s="7"/>
      <c r="F660" s="7"/>
      <c r="G660" s="7"/>
      <c r="H660" s="7"/>
      <c r="I660" s="7"/>
      <c r="J660" s="7"/>
      <c r="K660" s="7"/>
    </row>
    <row r="661">
      <c r="A661" s="7"/>
      <c r="B661" s="7"/>
      <c r="C661" s="7"/>
      <c r="D661" s="7"/>
      <c r="E661" s="7"/>
      <c r="F661" s="7"/>
      <c r="G661" s="7"/>
      <c r="H661" s="7"/>
      <c r="I661" s="7"/>
      <c r="J661" s="7"/>
      <c r="K661" s="7"/>
    </row>
    <row r="662">
      <c r="A662" s="7"/>
      <c r="B662" s="7"/>
      <c r="C662" s="7"/>
      <c r="D662" s="7"/>
      <c r="E662" s="7"/>
      <c r="F662" s="7"/>
      <c r="G662" s="7"/>
      <c r="H662" s="7"/>
      <c r="I662" s="7"/>
      <c r="J662" s="7"/>
      <c r="K662" s="7"/>
    </row>
    <row r="663">
      <c r="A663" s="7"/>
      <c r="B663" s="7"/>
      <c r="C663" s="7"/>
      <c r="D663" s="7"/>
      <c r="E663" s="7"/>
      <c r="F663" s="7"/>
      <c r="G663" s="7"/>
      <c r="H663" s="7"/>
      <c r="I663" s="7"/>
      <c r="J663" s="7"/>
      <c r="K663" s="7"/>
    </row>
    <row r="664">
      <c r="A664" s="7"/>
      <c r="B664" s="7"/>
      <c r="C664" s="7"/>
      <c r="D664" s="7"/>
      <c r="E664" s="7"/>
      <c r="F664" s="7"/>
      <c r="G664" s="7"/>
      <c r="H664" s="7"/>
      <c r="I664" s="7"/>
      <c r="J664" s="7"/>
      <c r="K664" s="7"/>
    </row>
    <row r="665">
      <c r="A665" s="7"/>
      <c r="B665" s="7"/>
      <c r="C665" s="7"/>
      <c r="D665" s="7"/>
      <c r="E665" s="7"/>
      <c r="F665" s="7"/>
      <c r="G665" s="7"/>
      <c r="H665" s="7"/>
      <c r="I665" s="7"/>
      <c r="J665" s="7"/>
      <c r="K665" s="7"/>
    </row>
    <row r="666">
      <c r="A666" s="7"/>
      <c r="B666" s="7"/>
      <c r="C666" s="7"/>
      <c r="D666" s="7"/>
      <c r="E666" s="7"/>
      <c r="F666" s="7"/>
      <c r="G666" s="7"/>
      <c r="H666" s="7"/>
      <c r="I666" s="7"/>
      <c r="J666" s="7"/>
      <c r="K666" s="7"/>
    </row>
    <row r="667">
      <c r="A667" s="7"/>
      <c r="B667" s="7"/>
      <c r="C667" s="7"/>
      <c r="D667" s="7"/>
      <c r="E667" s="7"/>
      <c r="F667" s="7"/>
      <c r="G667" s="7"/>
      <c r="H667" s="7"/>
      <c r="I667" s="7"/>
      <c r="J667" s="7"/>
      <c r="K667" s="7"/>
    </row>
    <row r="668">
      <c r="A668" s="7"/>
      <c r="B668" s="7"/>
      <c r="C668" s="7"/>
      <c r="D668" s="7"/>
      <c r="E668" s="7"/>
      <c r="F668" s="7"/>
      <c r="G668" s="7"/>
      <c r="H668" s="7"/>
      <c r="I668" s="7"/>
      <c r="J668" s="7"/>
      <c r="K668" s="7"/>
    </row>
    <row r="669">
      <c r="A669" s="7"/>
      <c r="B669" s="7"/>
      <c r="C669" s="7"/>
      <c r="D669" s="7"/>
      <c r="E669" s="7"/>
      <c r="F669" s="7"/>
      <c r="G669" s="7"/>
      <c r="H669" s="7"/>
      <c r="I669" s="7"/>
      <c r="J669" s="7"/>
      <c r="K669" s="7"/>
    </row>
    <row r="670">
      <c r="A670" s="7"/>
      <c r="B670" s="7"/>
      <c r="C670" s="7"/>
      <c r="D670" s="7"/>
      <c r="E670" s="7"/>
      <c r="F670" s="7"/>
      <c r="G670" s="7"/>
      <c r="H670" s="7"/>
      <c r="I670" s="7"/>
      <c r="J670" s="7"/>
      <c r="K670" s="7"/>
    </row>
    <row r="671">
      <c r="A671" s="7"/>
      <c r="B671" s="7"/>
      <c r="C671" s="7"/>
      <c r="D671" s="7"/>
      <c r="E671" s="7"/>
      <c r="F671" s="7"/>
      <c r="G671" s="7"/>
      <c r="H671" s="7"/>
      <c r="I671" s="7"/>
      <c r="J671" s="7"/>
      <c r="K671" s="7"/>
    </row>
    <row r="672">
      <c r="A672" s="7"/>
      <c r="B672" s="7"/>
      <c r="C672" s="7"/>
      <c r="D672" s="7"/>
      <c r="E672" s="7"/>
      <c r="F672" s="7"/>
      <c r="G672" s="7"/>
      <c r="H672" s="7"/>
      <c r="I672" s="7"/>
      <c r="J672" s="7"/>
      <c r="K672" s="7"/>
    </row>
    <row r="673">
      <c r="A673" s="7"/>
      <c r="B673" s="7"/>
      <c r="C673" s="7"/>
      <c r="D673" s="7"/>
      <c r="E673" s="7"/>
      <c r="F673" s="7"/>
      <c r="G673" s="7"/>
      <c r="H673" s="7"/>
      <c r="I673" s="7"/>
      <c r="J673" s="7"/>
      <c r="K673" s="7"/>
    </row>
    <row r="674">
      <c r="A674" s="7"/>
      <c r="B674" s="7"/>
      <c r="C674" s="7"/>
      <c r="D674" s="7"/>
      <c r="E674" s="7"/>
      <c r="F674" s="7"/>
      <c r="G674" s="7"/>
      <c r="H674" s="7"/>
      <c r="I674" s="7"/>
      <c r="J674" s="7"/>
      <c r="K674" s="7"/>
    </row>
    <row r="675">
      <c r="A675" s="7"/>
      <c r="B675" s="7"/>
      <c r="C675" s="7"/>
      <c r="D675" s="7"/>
      <c r="E675" s="7"/>
      <c r="F675" s="7"/>
      <c r="G675" s="7"/>
      <c r="H675" s="7"/>
      <c r="I675" s="7"/>
      <c r="J675" s="7"/>
      <c r="K675" s="7"/>
    </row>
    <row r="676">
      <c r="A676" s="7"/>
      <c r="B676" s="7"/>
      <c r="C676" s="7"/>
      <c r="D676" s="7"/>
      <c r="E676" s="7"/>
      <c r="F676" s="7"/>
      <c r="G676" s="7"/>
      <c r="H676" s="7"/>
      <c r="I676" s="7"/>
      <c r="J676" s="7"/>
      <c r="K676" s="7"/>
    </row>
    <row r="677">
      <c r="A677" s="7"/>
      <c r="B677" s="7"/>
      <c r="C677" s="7"/>
      <c r="D677" s="7"/>
      <c r="E677" s="7"/>
      <c r="F677" s="7"/>
      <c r="G677" s="7"/>
      <c r="H677" s="7"/>
      <c r="I677" s="7"/>
      <c r="J677" s="7"/>
      <c r="K677" s="7"/>
    </row>
    <row r="678">
      <c r="A678" s="7"/>
      <c r="B678" s="7"/>
      <c r="C678" s="7"/>
      <c r="D678" s="7"/>
      <c r="E678" s="7"/>
      <c r="F678" s="7"/>
      <c r="G678" s="7"/>
      <c r="H678" s="7"/>
      <c r="I678" s="7"/>
      <c r="J678" s="7"/>
      <c r="K678" s="7"/>
    </row>
    <row r="679">
      <c r="A679" s="7"/>
      <c r="B679" s="7"/>
      <c r="C679" s="7"/>
      <c r="D679" s="7"/>
      <c r="E679" s="7"/>
      <c r="F679" s="7"/>
      <c r="G679" s="7"/>
      <c r="H679" s="7"/>
      <c r="I679" s="7"/>
      <c r="J679" s="7"/>
      <c r="K679" s="7"/>
    </row>
    <row r="680">
      <c r="A680" s="7"/>
      <c r="B680" s="7"/>
      <c r="C680" s="7"/>
      <c r="D680" s="7"/>
      <c r="E680" s="7"/>
      <c r="F680" s="7"/>
      <c r="G680" s="7"/>
      <c r="H680" s="7"/>
      <c r="I680" s="7"/>
      <c r="J680" s="7"/>
      <c r="K680" s="7"/>
    </row>
    <row r="681">
      <c r="A681" s="7"/>
      <c r="B681" s="7"/>
      <c r="C681" s="7"/>
      <c r="D681" s="7"/>
      <c r="E681" s="7"/>
      <c r="F681" s="7"/>
      <c r="G681" s="7"/>
      <c r="H681" s="7"/>
      <c r="I681" s="7"/>
      <c r="J681" s="7"/>
      <c r="K681" s="7"/>
    </row>
    <row r="682">
      <c r="A682" s="7"/>
      <c r="B682" s="7"/>
      <c r="C682" s="7"/>
      <c r="D682" s="7"/>
      <c r="E682" s="7"/>
      <c r="F682" s="7"/>
      <c r="G682" s="7"/>
      <c r="H682" s="7"/>
      <c r="I682" s="7"/>
      <c r="J682" s="7"/>
      <c r="K682" s="7"/>
    </row>
    <row r="683">
      <c r="A683" s="7"/>
      <c r="B683" s="7"/>
      <c r="C683" s="7"/>
      <c r="D683" s="7"/>
      <c r="E683" s="7"/>
      <c r="F683" s="7"/>
      <c r="G683" s="7"/>
      <c r="H683" s="7"/>
      <c r="I683" s="7"/>
      <c r="J683" s="7"/>
      <c r="K683" s="7"/>
    </row>
    <row r="684">
      <c r="A684" s="7"/>
      <c r="B684" s="7"/>
      <c r="C684" s="7"/>
      <c r="D684" s="7"/>
      <c r="E684" s="7"/>
      <c r="F684" s="7"/>
      <c r="G684" s="7"/>
      <c r="H684" s="7"/>
      <c r="I684" s="7"/>
      <c r="J684" s="7"/>
      <c r="K684" s="7"/>
    </row>
    <row r="685">
      <c r="A685" s="7"/>
      <c r="B685" s="7"/>
      <c r="C685" s="7"/>
      <c r="D685" s="7"/>
      <c r="E685" s="7"/>
      <c r="F685" s="7"/>
      <c r="G685" s="7"/>
      <c r="H685" s="7"/>
      <c r="I685" s="7"/>
      <c r="J685" s="7"/>
      <c r="K685" s="7"/>
    </row>
    <row r="686">
      <c r="A686" s="7"/>
      <c r="B686" s="7"/>
      <c r="C686" s="7"/>
      <c r="D686" s="7"/>
      <c r="E686" s="7"/>
      <c r="F686" s="7"/>
      <c r="G686" s="7"/>
      <c r="H686" s="7"/>
      <c r="I686" s="7"/>
      <c r="J686" s="7"/>
      <c r="K686" s="7"/>
    </row>
    <row r="687">
      <c r="A687" s="7"/>
      <c r="B687" s="7"/>
      <c r="C687" s="7"/>
      <c r="D687" s="7"/>
      <c r="E687" s="7"/>
      <c r="F687" s="7"/>
      <c r="G687" s="7"/>
      <c r="H687" s="7"/>
      <c r="I687" s="7"/>
      <c r="J687" s="7"/>
      <c r="K687" s="7"/>
    </row>
    <row r="688">
      <c r="A688" s="7"/>
      <c r="B688" s="7"/>
      <c r="C688" s="7"/>
      <c r="D688" s="7"/>
      <c r="E688" s="7"/>
      <c r="F688" s="7"/>
      <c r="G688" s="7"/>
      <c r="H688" s="7"/>
      <c r="I688" s="7"/>
      <c r="J688" s="7"/>
      <c r="K688" s="7"/>
    </row>
    <row r="689">
      <c r="A689" s="7"/>
      <c r="B689" s="7"/>
      <c r="C689" s="7"/>
      <c r="D689" s="7"/>
      <c r="E689" s="7"/>
      <c r="F689" s="7"/>
      <c r="G689" s="7"/>
      <c r="H689" s="7"/>
      <c r="I689" s="7"/>
      <c r="J689" s="7"/>
      <c r="K689" s="7"/>
    </row>
    <row r="690">
      <c r="A690" s="7"/>
      <c r="B690" s="7"/>
      <c r="C690" s="7"/>
      <c r="D690" s="7"/>
      <c r="E690" s="7"/>
      <c r="F690" s="7"/>
      <c r="G690" s="7"/>
      <c r="H690" s="7"/>
      <c r="I690" s="7"/>
      <c r="J690" s="7"/>
      <c r="K690" s="7"/>
    </row>
    <row r="691">
      <c r="A691" s="7"/>
      <c r="B691" s="7"/>
      <c r="C691" s="7"/>
      <c r="D691" s="7"/>
      <c r="E691" s="7"/>
      <c r="F691" s="7"/>
      <c r="G691" s="7"/>
      <c r="H691" s="7"/>
      <c r="I691" s="7"/>
      <c r="J691" s="7"/>
      <c r="K691" s="7"/>
    </row>
    <row r="692">
      <c r="A692" s="7"/>
      <c r="B692" s="7"/>
      <c r="C692" s="7"/>
      <c r="D692" s="7"/>
      <c r="E692" s="7"/>
      <c r="F692" s="7"/>
      <c r="G692" s="7"/>
      <c r="H692" s="7"/>
      <c r="I692" s="7"/>
      <c r="J692" s="7"/>
      <c r="K692" s="7"/>
    </row>
    <row r="693">
      <c r="A693" s="7"/>
      <c r="B693" s="7"/>
      <c r="C693" s="7"/>
      <c r="D693" s="7"/>
      <c r="E693" s="7"/>
      <c r="F693" s="7"/>
      <c r="G693" s="7"/>
      <c r="H693" s="7"/>
      <c r="I693" s="7"/>
      <c r="J693" s="7"/>
      <c r="K693" s="7"/>
    </row>
    <row r="694">
      <c r="A694" s="7"/>
      <c r="B694" s="7"/>
      <c r="C694" s="7"/>
      <c r="D694" s="7"/>
      <c r="E694" s="7"/>
      <c r="F694" s="7"/>
      <c r="G694" s="7"/>
      <c r="H694" s="7"/>
      <c r="I694" s="7"/>
      <c r="J694" s="7"/>
      <c r="K694" s="7"/>
    </row>
    <row r="695">
      <c r="A695" s="7"/>
      <c r="B695" s="7"/>
      <c r="C695" s="7"/>
      <c r="D695" s="7"/>
      <c r="E695" s="7"/>
      <c r="F695" s="7"/>
      <c r="G695" s="7"/>
      <c r="H695" s="7"/>
      <c r="I695" s="7"/>
      <c r="J695" s="7"/>
      <c r="K695" s="7"/>
    </row>
    <row r="696">
      <c r="A696" s="7"/>
      <c r="B696" s="7"/>
      <c r="C696" s="7"/>
      <c r="D696" s="7"/>
      <c r="E696" s="7"/>
      <c r="F696" s="7"/>
      <c r="G696" s="7"/>
      <c r="H696" s="7"/>
      <c r="I696" s="7"/>
      <c r="J696" s="7"/>
      <c r="K696" s="7"/>
    </row>
    <row r="697">
      <c r="A697" s="7"/>
      <c r="B697" s="7"/>
      <c r="C697" s="7"/>
      <c r="D697" s="7"/>
      <c r="E697" s="7"/>
      <c r="F697" s="7"/>
      <c r="G697" s="7"/>
      <c r="H697" s="7"/>
      <c r="I697" s="7"/>
      <c r="J697" s="7"/>
      <c r="K697" s="7"/>
    </row>
    <row r="698">
      <c r="A698" s="7"/>
      <c r="B698" s="7"/>
      <c r="C698" s="7"/>
      <c r="D698" s="7"/>
      <c r="E698" s="7"/>
      <c r="F698" s="7"/>
      <c r="G698" s="7"/>
      <c r="H698" s="7"/>
      <c r="I698" s="7"/>
      <c r="J698" s="7"/>
      <c r="K698" s="7"/>
    </row>
    <row r="699">
      <c r="A699" s="7"/>
      <c r="B699" s="7"/>
      <c r="C699" s="7"/>
      <c r="D699" s="7"/>
      <c r="E699" s="7"/>
      <c r="F699" s="7"/>
      <c r="G699" s="7"/>
      <c r="H699" s="7"/>
      <c r="I699" s="7"/>
      <c r="J699" s="7"/>
      <c r="K699" s="7"/>
    </row>
    <row r="700">
      <c r="A700" s="7"/>
      <c r="B700" s="7"/>
      <c r="C700" s="7"/>
      <c r="D700" s="7"/>
      <c r="E700" s="7"/>
      <c r="F700" s="7"/>
      <c r="G700" s="7"/>
      <c r="H700" s="7"/>
      <c r="I700" s="7"/>
      <c r="J700" s="7"/>
      <c r="K700" s="7"/>
    </row>
    <row r="701">
      <c r="A701" s="7"/>
      <c r="B701" s="7"/>
      <c r="C701" s="7"/>
      <c r="D701" s="7"/>
      <c r="E701" s="7"/>
      <c r="F701" s="7"/>
      <c r="G701" s="7"/>
      <c r="H701" s="7"/>
      <c r="I701" s="7"/>
      <c r="J701" s="7"/>
      <c r="K701" s="7"/>
    </row>
    <row r="702">
      <c r="A702" s="7"/>
      <c r="B702" s="7"/>
      <c r="C702" s="7"/>
      <c r="D702" s="7"/>
      <c r="E702" s="7"/>
      <c r="F702" s="7"/>
      <c r="G702" s="7"/>
      <c r="H702" s="7"/>
      <c r="I702" s="7"/>
      <c r="J702" s="7"/>
      <c r="K702" s="7"/>
    </row>
    <row r="703">
      <c r="A703" s="7"/>
      <c r="B703" s="7"/>
      <c r="C703" s="7"/>
      <c r="D703" s="7"/>
      <c r="E703" s="7"/>
      <c r="F703" s="7"/>
      <c r="G703" s="7"/>
      <c r="H703" s="7"/>
      <c r="I703" s="7"/>
      <c r="J703" s="7"/>
      <c r="K703" s="7"/>
    </row>
    <row r="704">
      <c r="A704" s="7"/>
      <c r="B704" s="7"/>
      <c r="C704" s="7"/>
      <c r="D704" s="7"/>
      <c r="E704" s="7"/>
      <c r="F704" s="7"/>
      <c r="G704" s="7"/>
      <c r="H704" s="7"/>
      <c r="I704" s="7"/>
      <c r="J704" s="7"/>
      <c r="K704" s="7"/>
    </row>
    <row r="705">
      <c r="A705" s="7"/>
      <c r="B705" s="7"/>
      <c r="C705" s="7"/>
      <c r="D705" s="7"/>
      <c r="E705" s="7"/>
      <c r="F705" s="7"/>
      <c r="G705" s="7"/>
      <c r="H705" s="7"/>
      <c r="I705" s="7"/>
      <c r="J705" s="7"/>
      <c r="K705" s="7"/>
    </row>
    <row r="706">
      <c r="A706" s="7"/>
      <c r="B706" s="7"/>
      <c r="C706" s="7"/>
      <c r="D706" s="7"/>
      <c r="E706" s="7"/>
      <c r="F706" s="7"/>
      <c r="G706" s="7"/>
      <c r="H706" s="7"/>
      <c r="I706" s="7"/>
      <c r="J706" s="7"/>
      <c r="K706" s="7"/>
    </row>
    <row r="707">
      <c r="A707" s="7"/>
      <c r="B707" s="7"/>
      <c r="C707" s="7"/>
      <c r="D707" s="7"/>
      <c r="E707" s="7"/>
      <c r="F707" s="7"/>
      <c r="G707" s="7"/>
      <c r="H707" s="7"/>
      <c r="I707" s="7"/>
      <c r="J707" s="7"/>
      <c r="K707" s="7"/>
    </row>
    <row r="708">
      <c r="A708" s="7"/>
      <c r="B708" s="7"/>
      <c r="C708" s="7"/>
      <c r="D708" s="7"/>
      <c r="E708" s="7"/>
      <c r="F708" s="7"/>
      <c r="G708" s="7"/>
      <c r="H708" s="7"/>
      <c r="I708" s="7"/>
      <c r="J708" s="7"/>
      <c r="K708" s="7"/>
    </row>
    <row r="709">
      <c r="A709" s="7"/>
      <c r="B709" s="7"/>
      <c r="C709" s="7"/>
      <c r="D709" s="7"/>
      <c r="E709" s="7"/>
      <c r="F709" s="7"/>
      <c r="G709" s="7"/>
      <c r="H709" s="7"/>
      <c r="I709" s="7"/>
      <c r="J709" s="7"/>
      <c r="K709" s="7"/>
    </row>
    <row r="710">
      <c r="A710" s="7"/>
      <c r="B710" s="7"/>
      <c r="C710" s="7"/>
      <c r="D710" s="7"/>
      <c r="E710" s="7"/>
      <c r="F710" s="7"/>
      <c r="G710" s="7"/>
      <c r="H710" s="7"/>
      <c r="I710" s="7"/>
      <c r="J710" s="7"/>
      <c r="K710" s="7"/>
    </row>
    <row r="711">
      <c r="A711" s="7"/>
      <c r="B711" s="7"/>
      <c r="C711" s="7"/>
      <c r="D711" s="7"/>
      <c r="E711" s="7"/>
      <c r="F711" s="7"/>
      <c r="G711" s="7"/>
      <c r="H711" s="7"/>
      <c r="I711" s="7"/>
      <c r="J711" s="7"/>
      <c r="K711" s="7"/>
    </row>
    <row r="712">
      <c r="A712" s="7"/>
      <c r="B712" s="7"/>
      <c r="C712" s="7"/>
      <c r="D712" s="7"/>
      <c r="E712" s="7"/>
      <c r="F712" s="7"/>
      <c r="G712" s="7"/>
      <c r="H712" s="7"/>
      <c r="I712" s="7"/>
      <c r="J712" s="7"/>
      <c r="K712" s="7"/>
    </row>
    <row r="713">
      <c r="A713" s="7"/>
      <c r="B713" s="7"/>
      <c r="C713" s="7"/>
      <c r="D713" s="7"/>
      <c r="E713" s="7"/>
      <c r="F713" s="7"/>
      <c r="G713" s="7"/>
      <c r="H713" s="7"/>
      <c r="I713" s="7"/>
      <c r="J713" s="7"/>
      <c r="K713" s="7"/>
    </row>
    <row r="714">
      <c r="A714" s="7"/>
      <c r="B714" s="7"/>
      <c r="C714" s="7"/>
      <c r="D714" s="7"/>
      <c r="E714" s="7"/>
      <c r="F714" s="7"/>
      <c r="G714" s="7"/>
      <c r="H714" s="7"/>
      <c r="I714" s="7"/>
      <c r="J714" s="7"/>
      <c r="K714" s="7"/>
    </row>
    <row r="715">
      <c r="A715" s="7"/>
      <c r="B715" s="7"/>
      <c r="C715" s="7"/>
      <c r="D715" s="7"/>
      <c r="E715" s="7"/>
      <c r="F715" s="7"/>
      <c r="G715" s="7"/>
      <c r="H715" s="7"/>
      <c r="I715" s="7"/>
      <c r="J715" s="7"/>
      <c r="K715" s="7"/>
    </row>
    <row r="716">
      <c r="A716" s="7"/>
      <c r="B716" s="7"/>
      <c r="C716" s="7"/>
      <c r="D716" s="7"/>
      <c r="E716" s="7"/>
      <c r="F716" s="7"/>
      <c r="G716" s="7"/>
      <c r="H716" s="7"/>
      <c r="I716" s="7"/>
      <c r="J716" s="7"/>
      <c r="K716" s="7"/>
    </row>
    <row r="717">
      <c r="A717" s="7"/>
      <c r="B717" s="7"/>
      <c r="C717" s="7"/>
      <c r="D717" s="7"/>
      <c r="E717" s="7"/>
      <c r="F717" s="7"/>
      <c r="G717" s="7"/>
      <c r="H717" s="7"/>
      <c r="I717" s="7"/>
      <c r="J717" s="7"/>
      <c r="K717" s="7"/>
    </row>
    <row r="718">
      <c r="A718" s="7"/>
      <c r="B718" s="7"/>
      <c r="C718" s="7"/>
      <c r="D718" s="7"/>
      <c r="E718" s="7"/>
      <c r="F718" s="7"/>
      <c r="G718" s="7"/>
      <c r="H718" s="7"/>
      <c r="I718" s="7"/>
      <c r="J718" s="7"/>
      <c r="K718" s="7"/>
    </row>
    <row r="719">
      <c r="A719" s="7"/>
      <c r="B719" s="7"/>
      <c r="C719" s="7"/>
      <c r="D719" s="7"/>
      <c r="E719" s="7"/>
      <c r="F719" s="7"/>
      <c r="G719" s="7"/>
      <c r="H719" s="7"/>
      <c r="I719" s="7"/>
      <c r="J719" s="7"/>
      <c r="K719" s="7"/>
    </row>
    <row r="720">
      <c r="A720" s="7"/>
      <c r="B720" s="7"/>
      <c r="C720" s="7"/>
      <c r="D720" s="7"/>
      <c r="E720" s="7"/>
      <c r="F720" s="7"/>
      <c r="G720" s="7"/>
      <c r="H720" s="7"/>
      <c r="I720" s="7"/>
      <c r="J720" s="7"/>
      <c r="K720" s="7"/>
    </row>
    <row r="721">
      <c r="A721" s="7"/>
      <c r="B721" s="7"/>
      <c r="C721" s="7"/>
      <c r="D721" s="7"/>
      <c r="E721" s="7"/>
      <c r="F721" s="7"/>
      <c r="G721" s="7"/>
      <c r="H721" s="7"/>
      <c r="I721" s="7"/>
      <c r="J721" s="7"/>
      <c r="K721" s="7"/>
    </row>
    <row r="722">
      <c r="A722" s="7"/>
      <c r="B722" s="7"/>
      <c r="C722" s="7"/>
      <c r="D722" s="7"/>
      <c r="E722" s="7"/>
      <c r="F722" s="7"/>
      <c r="G722" s="7"/>
      <c r="H722" s="7"/>
      <c r="I722" s="7"/>
      <c r="J722" s="7"/>
      <c r="K722" s="7"/>
    </row>
    <row r="723">
      <c r="A723" s="7"/>
      <c r="B723" s="7"/>
      <c r="C723" s="7"/>
      <c r="D723" s="7"/>
      <c r="E723" s="7"/>
      <c r="F723" s="7"/>
      <c r="G723" s="7"/>
      <c r="H723" s="7"/>
      <c r="I723" s="7"/>
      <c r="J723" s="7"/>
      <c r="K723" s="7"/>
    </row>
    <row r="724">
      <c r="A724" s="7"/>
      <c r="B724" s="7"/>
      <c r="C724" s="7"/>
      <c r="D724" s="7"/>
      <c r="E724" s="7"/>
      <c r="F724" s="7"/>
      <c r="G724" s="7"/>
      <c r="H724" s="7"/>
      <c r="I724" s="7"/>
      <c r="J724" s="7"/>
      <c r="K724" s="7"/>
    </row>
    <row r="725">
      <c r="A725" s="7"/>
      <c r="B725" s="7"/>
      <c r="C725" s="7"/>
      <c r="D725" s="7"/>
      <c r="E725" s="7"/>
      <c r="F725" s="7"/>
      <c r="G725" s="7"/>
      <c r="H725" s="7"/>
      <c r="I725" s="7"/>
      <c r="J725" s="7"/>
      <c r="K725" s="7"/>
    </row>
    <row r="726">
      <c r="A726" s="7"/>
      <c r="B726" s="7"/>
      <c r="C726" s="7"/>
      <c r="D726" s="7"/>
      <c r="E726" s="7"/>
      <c r="F726" s="7"/>
      <c r="G726" s="7"/>
      <c r="H726" s="7"/>
      <c r="I726" s="7"/>
      <c r="J726" s="7"/>
      <c r="K726" s="7"/>
    </row>
    <row r="727">
      <c r="A727" s="7"/>
      <c r="B727" s="7"/>
      <c r="C727" s="7"/>
      <c r="D727" s="7"/>
      <c r="E727" s="7"/>
      <c r="F727" s="7"/>
      <c r="G727" s="7"/>
      <c r="H727" s="7"/>
      <c r="I727" s="7"/>
      <c r="J727" s="7"/>
      <c r="K727" s="7"/>
    </row>
    <row r="728">
      <c r="A728" s="7"/>
      <c r="B728" s="7"/>
      <c r="C728" s="7"/>
      <c r="D728" s="7"/>
      <c r="E728" s="7"/>
      <c r="F728" s="7"/>
      <c r="G728" s="7"/>
      <c r="H728" s="7"/>
      <c r="I728" s="7"/>
      <c r="J728" s="7"/>
      <c r="K728" s="7"/>
    </row>
    <row r="729">
      <c r="A729" s="7"/>
      <c r="B729" s="7"/>
      <c r="C729" s="7"/>
      <c r="D729" s="7"/>
      <c r="E729" s="7"/>
      <c r="F729" s="7"/>
      <c r="G729" s="7"/>
      <c r="H729" s="7"/>
      <c r="I729" s="7"/>
      <c r="J729" s="7"/>
      <c r="K729" s="7"/>
    </row>
    <row r="730">
      <c r="A730" s="7"/>
      <c r="B730" s="7"/>
      <c r="C730" s="7"/>
      <c r="D730" s="7"/>
      <c r="E730" s="7"/>
      <c r="F730" s="7"/>
      <c r="G730" s="7"/>
      <c r="H730" s="7"/>
      <c r="I730" s="7"/>
      <c r="J730" s="7"/>
      <c r="K730" s="7"/>
    </row>
    <row r="731">
      <c r="A731" s="7"/>
      <c r="B731" s="7"/>
      <c r="C731" s="7"/>
      <c r="D731" s="7"/>
      <c r="E731" s="7"/>
      <c r="F731" s="7"/>
      <c r="G731" s="7"/>
      <c r="H731" s="7"/>
      <c r="I731" s="7"/>
      <c r="J731" s="7"/>
      <c r="K731" s="7"/>
    </row>
    <row r="732">
      <c r="A732" s="7"/>
      <c r="B732" s="7"/>
      <c r="C732" s="7"/>
      <c r="D732" s="7"/>
      <c r="E732" s="7"/>
      <c r="F732" s="7"/>
      <c r="G732" s="7"/>
      <c r="H732" s="7"/>
      <c r="I732" s="7"/>
      <c r="J732" s="7"/>
      <c r="K732" s="7"/>
    </row>
    <row r="733">
      <c r="A733" s="7"/>
      <c r="B733" s="7"/>
      <c r="C733" s="7"/>
      <c r="D733" s="7"/>
      <c r="E733" s="7"/>
      <c r="F733" s="7"/>
      <c r="G733" s="7"/>
      <c r="H733" s="7"/>
      <c r="I733" s="7"/>
      <c r="J733" s="7"/>
      <c r="K733" s="7"/>
    </row>
    <row r="734">
      <c r="A734" s="7"/>
      <c r="B734" s="7"/>
      <c r="C734" s="7"/>
      <c r="D734" s="7"/>
      <c r="E734" s="7"/>
      <c r="F734" s="7"/>
      <c r="G734" s="7"/>
      <c r="H734" s="7"/>
      <c r="I734" s="7"/>
      <c r="J734" s="7"/>
      <c r="K734" s="7"/>
    </row>
    <row r="735">
      <c r="A735" s="7"/>
      <c r="B735" s="7"/>
      <c r="C735" s="7"/>
      <c r="D735" s="7"/>
      <c r="E735" s="7"/>
      <c r="F735" s="7"/>
      <c r="G735" s="7"/>
      <c r="H735" s="7"/>
      <c r="I735" s="7"/>
      <c r="J735" s="7"/>
      <c r="K735" s="7"/>
    </row>
    <row r="736">
      <c r="A736" s="7"/>
      <c r="B736" s="7"/>
      <c r="C736" s="7"/>
      <c r="D736" s="7"/>
      <c r="E736" s="7"/>
      <c r="F736" s="7"/>
      <c r="G736" s="7"/>
      <c r="H736" s="7"/>
      <c r="I736" s="7"/>
      <c r="J736" s="7"/>
      <c r="K736" s="7"/>
    </row>
    <row r="737">
      <c r="A737" s="7"/>
      <c r="B737" s="7"/>
      <c r="C737" s="7"/>
      <c r="D737" s="7"/>
      <c r="E737" s="7"/>
      <c r="F737" s="7"/>
      <c r="G737" s="7"/>
      <c r="H737" s="7"/>
      <c r="I737" s="7"/>
      <c r="J737" s="7"/>
      <c r="K737" s="7"/>
    </row>
    <row r="738">
      <c r="A738" s="7"/>
      <c r="B738" s="7"/>
      <c r="C738" s="7"/>
      <c r="D738" s="7"/>
      <c r="E738" s="7"/>
      <c r="F738" s="7"/>
      <c r="G738" s="7"/>
      <c r="H738" s="7"/>
      <c r="I738" s="7"/>
      <c r="J738" s="7"/>
      <c r="K738" s="7"/>
    </row>
    <row r="739">
      <c r="A739" s="7"/>
      <c r="B739" s="7"/>
      <c r="C739" s="7"/>
      <c r="D739" s="7"/>
      <c r="E739" s="7"/>
      <c r="F739" s="7"/>
      <c r="G739" s="7"/>
      <c r="H739" s="7"/>
      <c r="I739" s="7"/>
      <c r="J739" s="7"/>
      <c r="K739" s="7"/>
    </row>
    <row r="740">
      <c r="A740" s="7"/>
      <c r="B740" s="7"/>
      <c r="C740" s="7"/>
      <c r="D740" s="7"/>
      <c r="E740" s="7"/>
      <c r="F740" s="7"/>
      <c r="G740" s="7"/>
      <c r="H740" s="7"/>
      <c r="I740" s="7"/>
      <c r="J740" s="7"/>
      <c r="K740" s="7"/>
    </row>
    <row r="741">
      <c r="A741" s="7"/>
      <c r="B741" s="7"/>
      <c r="C741" s="7"/>
      <c r="D741" s="7"/>
      <c r="E741" s="7"/>
      <c r="F741" s="7"/>
      <c r="G741" s="7"/>
      <c r="H741" s="7"/>
      <c r="I741" s="7"/>
      <c r="J741" s="7"/>
      <c r="K741" s="7"/>
    </row>
    <row r="742">
      <c r="A742" s="7"/>
      <c r="B742" s="7"/>
      <c r="C742" s="7"/>
      <c r="D742" s="7"/>
      <c r="E742" s="7"/>
      <c r="F742" s="7"/>
      <c r="G742" s="7"/>
      <c r="H742" s="7"/>
      <c r="I742" s="7"/>
      <c r="J742" s="7"/>
      <c r="K742" s="7"/>
    </row>
    <row r="743">
      <c r="A743" s="7"/>
      <c r="B743" s="7"/>
      <c r="C743" s="7"/>
      <c r="D743" s="7"/>
      <c r="E743" s="7"/>
      <c r="F743" s="7"/>
      <c r="G743" s="7"/>
      <c r="H743" s="7"/>
      <c r="I743" s="7"/>
      <c r="J743" s="7"/>
      <c r="K743" s="7"/>
    </row>
    <row r="744">
      <c r="A744" s="7"/>
      <c r="B744" s="7"/>
      <c r="C744" s="7"/>
      <c r="D744" s="7"/>
      <c r="E744" s="7"/>
      <c r="F744" s="7"/>
      <c r="G744" s="7"/>
      <c r="H744" s="7"/>
      <c r="I744" s="7"/>
      <c r="J744" s="7"/>
      <c r="K744" s="7"/>
    </row>
    <row r="745">
      <c r="A745" s="7"/>
      <c r="B745" s="7"/>
      <c r="C745" s="7"/>
      <c r="D745" s="7"/>
      <c r="E745" s="7"/>
      <c r="F745" s="7"/>
      <c r="G745" s="7"/>
      <c r="H745" s="7"/>
      <c r="I745" s="7"/>
      <c r="J745" s="7"/>
      <c r="K745" s="7"/>
    </row>
    <row r="746">
      <c r="A746" s="7"/>
      <c r="B746" s="7"/>
      <c r="C746" s="7"/>
      <c r="D746" s="7"/>
      <c r="E746" s="7"/>
      <c r="F746" s="7"/>
      <c r="G746" s="7"/>
      <c r="H746" s="7"/>
      <c r="I746" s="7"/>
      <c r="J746" s="7"/>
      <c r="K746" s="7"/>
    </row>
    <row r="747">
      <c r="A747" s="7"/>
      <c r="B747" s="7"/>
      <c r="C747" s="7"/>
      <c r="D747" s="7"/>
      <c r="E747" s="7"/>
      <c r="F747" s="7"/>
      <c r="G747" s="7"/>
      <c r="H747" s="7"/>
      <c r="I747" s="7"/>
      <c r="J747" s="7"/>
      <c r="K747" s="7"/>
    </row>
    <row r="748">
      <c r="A748" s="7"/>
      <c r="B748" s="7"/>
      <c r="C748" s="7"/>
      <c r="D748" s="7"/>
      <c r="E748" s="7"/>
      <c r="F748" s="7"/>
      <c r="G748" s="7"/>
      <c r="H748" s="7"/>
      <c r="I748" s="7"/>
      <c r="J748" s="7"/>
      <c r="K748" s="7"/>
    </row>
    <row r="749">
      <c r="A749" s="7"/>
      <c r="B749" s="7"/>
      <c r="C749" s="7"/>
      <c r="D749" s="7"/>
      <c r="E749" s="7"/>
      <c r="F749" s="7"/>
      <c r="G749" s="7"/>
      <c r="H749" s="7"/>
      <c r="I749" s="7"/>
      <c r="J749" s="7"/>
      <c r="K749" s="7"/>
    </row>
    <row r="750">
      <c r="A750" s="7"/>
      <c r="B750" s="7"/>
      <c r="C750" s="7"/>
      <c r="D750" s="7"/>
      <c r="E750" s="7"/>
      <c r="F750" s="7"/>
      <c r="G750" s="7"/>
      <c r="H750" s="7"/>
      <c r="I750" s="7"/>
      <c r="J750" s="7"/>
      <c r="K750" s="7"/>
    </row>
    <row r="751">
      <c r="A751" s="7"/>
      <c r="B751" s="7"/>
      <c r="C751" s="7"/>
      <c r="D751" s="7"/>
      <c r="E751" s="7"/>
      <c r="F751" s="7"/>
      <c r="G751" s="7"/>
      <c r="H751" s="7"/>
      <c r="I751" s="7"/>
      <c r="J751" s="7"/>
      <c r="K751" s="7"/>
    </row>
    <row r="752">
      <c r="A752" s="7"/>
      <c r="B752" s="7"/>
      <c r="C752" s="7"/>
      <c r="D752" s="7"/>
      <c r="E752" s="7"/>
      <c r="F752" s="7"/>
      <c r="G752" s="7"/>
      <c r="H752" s="7"/>
      <c r="I752" s="7"/>
      <c r="J752" s="7"/>
      <c r="K752" s="7"/>
    </row>
    <row r="753">
      <c r="A753" s="7"/>
      <c r="B753" s="7"/>
      <c r="C753" s="7"/>
      <c r="D753" s="7"/>
      <c r="E753" s="7"/>
      <c r="F753" s="7"/>
      <c r="G753" s="7"/>
      <c r="H753" s="7"/>
      <c r="I753" s="7"/>
      <c r="J753" s="7"/>
      <c r="K753" s="7"/>
    </row>
    <row r="754">
      <c r="A754" s="7"/>
      <c r="B754" s="7"/>
      <c r="C754" s="7"/>
      <c r="D754" s="7"/>
      <c r="E754" s="7"/>
      <c r="F754" s="7"/>
      <c r="G754" s="7"/>
      <c r="H754" s="7"/>
      <c r="I754" s="7"/>
      <c r="J754" s="7"/>
      <c r="K754" s="7"/>
    </row>
    <row r="755">
      <c r="A755" s="7"/>
      <c r="B755" s="7"/>
      <c r="C755" s="7"/>
      <c r="D755" s="7"/>
      <c r="E755" s="7"/>
      <c r="F755" s="7"/>
      <c r="G755" s="7"/>
      <c r="H755" s="7"/>
      <c r="I755" s="7"/>
      <c r="J755" s="7"/>
      <c r="K755" s="7"/>
    </row>
    <row r="756">
      <c r="A756" s="7"/>
      <c r="B756" s="7"/>
      <c r="C756" s="7"/>
      <c r="D756" s="7"/>
      <c r="E756" s="7"/>
      <c r="F756" s="7"/>
      <c r="G756" s="7"/>
      <c r="H756" s="7"/>
      <c r="I756" s="7"/>
      <c r="J756" s="7"/>
      <c r="K756" s="7"/>
    </row>
    <row r="757">
      <c r="A757" s="7"/>
      <c r="B757" s="7"/>
      <c r="C757" s="7"/>
      <c r="D757" s="7"/>
      <c r="E757" s="7"/>
      <c r="F757" s="7"/>
      <c r="G757" s="7"/>
      <c r="H757" s="7"/>
      <c r="I757" s="7"/>
      <c r="J757" s="7"/>
      <c r="K757" s="7"/>
    </row>
    <row r="758">
      <c r="A758" s="7"/>
      <c r="B758" s="7"/>
      <c r="C758" s="7"/>
      <c r="D758" s="7"/>
      <c r="E758" s="7"/>
      <c r="F758" s="7"/>
      <c r="G758" s="7"/>
      <c r="H758" s="7"/>
      <c r="I758" s="7"/>
      <c r="J758" s="7"/>
      <c r="K758" s="7"/>
    </row>
    <row r="759">
      <c r="A759" s="7"/>
      <c r="B759" s="7"/>
      <c r="C759" s="7"/>
      <c r="D759" s="7"/>
      <c r="E759" s="7"/>
      <c r="F759" s="7"/>
      <c r="G759" s="7"/>
      <c r="H759" s="7"/>
      <c r="I759" s="7"/>
      <c r="J759" s="7"/>
      <c r="K759" s="7"/>
    </row>
    <row r="760">
      <c r="A760" s="7"/>
      <c r="B760" s="7"/>
      <c r="C760" s="7"/>
      <c r="D760" s="7"/>
      <c r="E760" s="7"/>
      <c r="F760" s="7"/>
      <c r="G760" s="7"/>
      <c r="H760" s="7"/>
      <c r="I760" s="7"/>
      <c r="J760" s="7"/>
      <c r="K760" s="7"/>
    </row>
    <row r="761">
      <c r="A761" s="7"/>
      <c r="B761" s="7"/>
      <c r="C761" s="7"/>
      <c r="D761" s="7"/>
      <c r="E761" s="7"/>
      <c r="F761" s="7"/>
      <c r="G761" s="7"/>
      <c r="H761" s="7"/>
      <c r="I761" s="7"/>
      <c r="J761" s="7"/>
      <c r="K761" s="7"/>
    </row>
    <row r="762">
      <c r="A762" s="7"/>
      <c r="B762" s="7"/>
      <c r="C762" s="7"/>
      <c r="D762" s="7"/>
      <c r="E762" s="7"/>
      <c r="F762" s="7"/>
      <c r="G762" s="7"/>
      <c r="H762" s="7"/>
      <c r="I762" s="7"/>
      <c r="J762" s="7"/>
      <c r="K762" s="7"/>
    </row>
    <row r="763">
      <c r="A763" s="7"/>
      <c r="B763" s="7"/>
      <c r="C763" s="7"/>
      <c r="D763" s="7"/>
      <c r="E763" s="7"/>
      <c r="F763" s="7"/>
      <c r="G763" s="7"/>
      <c r="H763" s="7"/>
      <c r="I763" s="7"/>
      <c r="J763" s="7"/>
      <c r="K763" s="7"/>
    </row>
    <row r="764">
      <c r="A764" s="7"/>
      <c r="B764" s="7"/>
      <c r="C764" s="7"/>
      <c r="D764" s="7"/>
      <c r="E764" s="7"/>
      <c r="F764" s="7"/>
      <c r="G764" s="7"/>
      <c r="H764" s="7"/>
      <c r="I764" s="7"/>
      <c r="J764" s="7"/>
      <c r="K764" s="7"/>
    </row>
    <row r="765">
      <c r="A765" s="7"/>
      <c r="B765" s="7"/>
      <c r="C765" s="7"/>
      <c r="D765" s="7"/>
      <c r="E765" s="7"/>
      <c r="F765" s="7"/>
      <c r="G765" s="7"/>
      <c r="H765" s="7"/>
      <c r="I765" s="7"/>
      <c r="J765" s="7"/>
      <c r="K765" s="7"/>
    </row>
    <row r="766">
      <c r="A766" s="7"/>
      <c r="B766" s="7"/>
      <c r="C766" s="7"/>
      <c r="D766" s="7"/>
      <c r="E766" s="7"/>
      <c r="F766" s="7"/>
      <c r="G766" s="7"/>
      <c r="H766" s="7"/>
      <c r="I766" s="7"/>
      <c r="J766" s="7"/>
      <c r="K766" s="7"/>
    </row>
    <row r="767">
      <c r="A767" s="7"/>
      <c r="B767" s="7"/>
      <c r="C767" s="7"/>
      <c r="D767" s="7"/>
      <c r="E767" s="7"/>
      <c r="F767" s="7"/>
      <c r="G767" s="7"/>
      <c r="H767" s="7"/>
      <c r="I767" s="7"/>
      <c r="J767" s="7"/>
      <c r="K767" s="7"/>
    </row>
    <row r="768">
      <c r="A768" s="7"/>
      <c r="B768" s="7"/>
      <c r="C768" s="7"/>
      <c r="D768" s="7"/>
      <c r="E768" s="7"/>
      <c r="F768" s="7"/>
      <c r="G768" s="7"/>
      <c r="H768" s="7"/>
      <c r="I768" s="7"/>
      <c r="J768" s="7"/>
      <c r="K768" s="7"/>
    </row>
    <row r="769">
      <c r="A769" s="7"/>
      <c r="B769" s="7"/>
      <c r="C769" s="7"/>
      <c r="D769" s="7"/>
      <c r="E769" s="7"/>
      <c r="F769" s="7"/>
      <c r="G769" s="7"/>
      <c r="H769" s="7"/>
      <c r="I769" s="7"/>
      <c r="J769" s="7"/>
      <c r="K769" s="7"/>
    </row>
    <row r="770">
      <c r="A770" s="7"/>
      <c r="B770" s="7"/>
      <c r="C770" s="7"/>
      <c r="D770" s="7"/>
      <c r="E770" s="7"/>
      <c r="F770" s="7"/>
      <c r="G770" s="7"/>
      <c r="H770" s="7"/>
      <c r="I770" s="7"/>
      <c r="J770" s="7"/>
      <c r="K770" s="7"/>
    </row>
    <row r="771">
      <c r="A771" s="7"/>
      <c r="B771" s="7"/>
      <c r="C771" s="7"/>
      <c r="D771" s="7"/>
      <c r="E771" s="7"/>
      <c r="F771" s="7"/>
      <c r="G771" s="7"/>
      <c r="H771" s="7"/>
      <c r="I771" s="7"/>
      <c r="J771" s="7"/>
      <c r="K771" s="7"/>
    </row>
    <row r="772">
      <c r="A772" s="7"/>
      <c r="B772" s="7"/>
      <c r="C772" s="7"/>
      <c r="D772" s="7"/>
      <c r="E772" s="7"/>
      <c r="F772" s="7"/>
      <c r="G772" s="7"/>
      <c r="H772" s="7"/>
      <c r="I772" s="7"/>
      <c r="J772" s="7"/>
      <c r="K772" s="7"/>
    </row>
    <row r="773">
      <c r="A773" s="7"/>
      <c r="B773" s="7"/>
      <c r="C773" s="7"/>
      <c r="D773" s="7"/>
      <c r="E773" s="7"/>
      <c r="F773" s="7"/>
      <c r="G773" s="7"/>
      <c r="H773" s="7"/>
      <c r="I773" s="7"/>
      <c r="J773" s="7"/>
      <c r="K773" s="7"/>
    </row>
    <row r="774">
      <c r="A774" s="7"/>
      <c r="B774" s="7"/>
      <c r="C774" s="7"/>
      <c r="D774" s="7"/>
      <c r="E774" s="7"/>
      <c r="F774" s="7"/>
      <c r="G774" s="7"/>
      <c r="H774" s="7"/>
      <c r="I774" s="7"/>
      <c r="J774" s="7"/>
      <c r="K774" s="7"/>
    </row>
    <row r="775">
      <c r="A775" s="7"/>
      <c r="B775" s="7"/>
      <c r="C775" s="7"/>
      <c r="D775" s="7"/>
      <c r="E775" s="7"/>
      <c r="F775" s="7"/>
      <c r="G775" s="7"/>
      <c r="H775" s="7"/>
      <c r="I775" s="7"/>
      <c r="J775" s="7"/>
      <c r="K775" s="7"/>
    </row>
    <row r="776">
      <c r="A776" s="7"/>
      <c r="B776" s="7"/>
      <c r="C776" s="7"/>
      <c r="D776" s="7"/>
      <c r="E776" s="7"/>
      <c r="F776" s="7"/>
      <c r="G776" s="7"/>
      <c r="H776" s="7"/>
      <c r="I776" s="7"/>
      <c r="J776" s="7"/>
      <c r="K776" s="7"/>
    </row>
    <row r="777">
      <c r="A777" s="7"/>
      <c r="B777" s="7"/>
      <c r="C777" s="7"/>
      <c r="D777" s="7"/>
      <c r="E777" s="7"/>
      <c r="F777" s="7"/>
      <c r="G777" s="7"/>
      <c r="H777" s="7"/>
      <c r="I777" s="7"/>
      <c r="J777" s="7"/>
      <c r="K777" s="7"/>
    </row>
    <row r="778">
      <c r="A778" s="7"/>
      <c r="B778" s="7"/>
      <c r="C778" s="7"/>
      <c r="D778" s="7"/>
      <c r="E778" s="7"/>
      <c r="F778" s="7"/>
      <c r="G778" s="7"/>
      <c r="H778" s="7"/>
      <c r="I778" s="7"/>
      <c r="J778" s="7"/>
      <c r="K778" s="7"/>
    </row>
    <row r="779">
      <c r="A779" s="7"/>
      <c r="B779" s="7"/>
      <c r="C779" s="7"/>
      <c r="D779" s="7"/>
      <c r="E779" s="7"/>
      <c r="F779" s="7"/>
      <c r="G779" s="7"/>
      <c r="H779" s="7"/>
      <c r="I779" s="7"/>
      <c r="J779" s="7"/>
      <c r="K779" s="7"/>
    </row>
    <row r="780">
      <c r="A780" s="7"/>
      <c r="B780" s="7"/>
      <c r="C780" s="7"/>
      <c r="D780" s="7"/>
      <c r="E780" s="7"/>
      <c r="F780" s="7"/>
      <c r="G780" s="7"/>
      <c r="H780" s="7"/>
      <c r="I780" s="7"/>
      <c r="J780" s="7"/>
      <c r="K780" s="7"/>
    </row>
    <row r="781">
      <c r="A781" s="7"/>
      <c r="B781" s="7"/>
      <c r="C781" s="7"/>
      <c r="D781" s="7"/>
      <c r="E781" s="7"/>
      <c r="F781" s="7"/>
      <c r="G781" s="7"/>
      <c r="H781" s="7"/>
      <c r="I781" s="7"/>
      <c r="J781" s="7"/>
      <c r="K781" s="7"/>
    </row>
    <row r="782">
      <c r="A782" s="7"/>
      <c r="B782" s="7"/>
      <c r="C782" s="7"/>
      <c r="D782" s="7"/>
      <c r="E782" s="7"/>
      <c r="F782" s="7"/>
      <c r="G782" s="7"/>
      <c r="H782" s="7"/>
      <c r="I782" s="7"/>
      <c r="J782" s="7"/>
      <c r="K782" s="7"/>
    </row>
    <row r="783">
      <c r="A783" s="7"/>
      <c r="B783" s="7"/>
      <c r="C783" s="7"/>
      <c r="D783" s="7"/>
      <c r="E783" s="7"/>
      <c r="F783" s="7"/>
      <c r="G783" s="7"/>
      <c r="H783" s="7"/>
      <c r="I783" s="7"/>
      <c r="J783" s="7"/>
      <c r="K783" s="7"/>
    </row>
    <row r="784">
      <c r="A784" s="7"/>
      <c r="B784" s="7"/>
      <c r="C784" s="7"/>
      <c r="D784" s="7"/>
      <c r="E784" s="7"/>
      <c r="F784" s="7"/>
      <c r="G784" s="7"/>
      <c r="H784" s="7"/>
      <c r="I784" s="7"/>
      <c r="J784" s="7"/>
      <c r="K784" s="7"/>
    </row>
    <row r="785">
      <c r="A785" s="7"/>
      <c r="B785" s="7"/>
      <c r="C785" s="7"/>
      <c r="D785" s="7"/>
      <c r="E785" s="7"/>
      <c r="F785" s="7"/>
      <c r="G785" s="7"/>
      <c r="H785" s="7"/>
      <c r="I785" s="7"/>
      <c r="J785" s="7"/>
      <c r="K785" s="7"/>
    </row>
    <row r="786">
      <c r="A786" s="7"/>
      <c r="B786" s="7"/>
      <c r="C786" s="7"/>
      <c r="D786" s="7"/>
      <c r="E786" s="7"/>
      <c r="F786" s="7"/>
      <c r="G786" s="7"/>
      <c r="H786" s="7"/>
      <c r="I786" s="7"/>
      <c r="J786" s="7"/>
      <c r="K786" s="7"/>
    </row>
    <row r="787">
      <c r="A787" s="7"/>
      <c r="B787" s="7"/>
      <c r="C787" s="7"/>
      <c r="D787" s="7"/>
      <c r="E787" s="7"/>
      <c r="F787" s="7"/>
      <c r="G787" s="7"/>
      <c r="H787" s="7"/>
      <c r="I787" s="7"/>
      <c r="J787" s="7"/>
      <c r="K787" s="7"/>
    </row>
    <row r="788">
      <c r="A788" s="7"/>
      <c r="B788" s="7"/>
      <c r="C788" s="7"/>
      <c r="D788" s="7"/>
      <c r="E788" s="7"/>
      <c r="F788" s="7"/>
      <c r="G788" s="7"/>
      <c r="H788" s="7"/>
      <c r="I788" s="7"/>
      <c r="J788" s="7"/>
      <c r="K788" s="7"/>
    </row>
    <row r="789">
      <c r="A789" s="7"/>
      <c r="B789" s="7"/>
      <c r="C789" s="7"/>
      <c r="D789" s="7"/>
      <c r="E789" s="7"/>
      <c r="F789" s="7"/>
      <c r="G789" s="7"/>
      <c r="H789" s="7"/>
      <c r="I789" s="7"/>
      <c r="J789" s="7"/>
      <c r="K789" s="7"/>
    </row>
    <row r="790">
      <c r="A790" s="7"/>
      <c r="B790" s="7"/>
      <c r="C790" s="7"/>
      <c r="D790" s="7"/>
      <c r="E790" s="7"/>
      <c r="F790" s="7"/>
      <c r="G790" s="7"/>
      <c r="H790" s="7"/>
      <c r="I790" s="7"/>
      <c r="J790" s="7"/>
      <c r="K790" s="7"/>
    </row>
    <row r="791">
      <c r="A791" s="7"/>
      <c r="B791" s="7"/>
      <c r="C791" s="7"/>
      <c r="D791" s="7"/>
      <c r="E791" s="7"/>
      <c r="F791" s="7"/>
      <c r="G791" s="7"/>
      <c r="H791" s="7"/>
      <c r="I791" s="7"/>
      <c r="J791" s="7"/>
      <c r="K791" s="7"/>
    </row>
    <row r="792">
      <c r="A792" s="7"/>
      <c r="B792" s="7"/>
      <c r="C792" s="7"/>
      <c r="D792" s="7"/>
      <c r="E792" s="7"/>
      <c r="F792" s="7"/>
      <c r="G792" s="7"/>
      <c r="H792" s="7"/>
      <c r="I792" s="7"/>
      <c r="J792" s="7"/>
      <c r="K792" s="7"/>
    </row>
    <row r="793">
      <c r="A793" s="7"/>
      <c r="B793" s="7"/>
      <c r="C793" s="7"/>
      <c r="D793" s="7"/>
      <c r="E793" s="7"/>
      <c r="F793" s="7"/>
      <c r="G793" s="7"/>
      <c r="H793" s="7"/>
      <c r="I793" s="7"/>
      <c r="J793" s="7"/>
      <c r="K793" s="7"/>
    </row>
    <row r="794">
      <c r="A794" s="7"/>
      <c r="B794" s="7"/>
      <c r="C794" s="7"/>
      <c r="D794" s="7"/>
      <c r="E794" s="7"/>
      <c r="F794" s="7"/>
      <c r="G794" s="7"/>
      <c r="H794" s="7"/>
      <c r="I794" s="7"/>
      <c r="J794" s="7"/>
      <c r="K794" s="7"/>
    </row>
    <row r="795">
      <c r="A795" s="7"/>
      <c r="B795" s="7"/>
      <c r="C795" s="7"/>
      <c r="D795" s="7"/>
      <c r="E795" s="7"/>
      <c r="F795" s="7"/>
      <c r="G795" s="7"/>
      <c r="H795" s="7"/>
      <c r="I795" s="7"/>
      <c r="J795" s="7"/>
      <c r="K795" s="7"/>
    </row>
    <row r="796">
      <c r="A796" s="7"/>
      <c r="B796" s="7"/>
      <c r="C796" s="7"/>
      <c r="D796" s="7"/>
      <c r="E796" s="7"/>
      <c r="F796" s="7"/>
      <c r="G796" s="7"/>
      <c r="H796" s="7"/>
      <c r="I796" s="7"/>
      <c r="J796" s="7"/>
      <c r="K796" s="7"/>
    </row>
    <row r="797">
      <c r="A797" s="7"/>
      <c r="B797" s="7"/>
      <c r="C797" s="7"/>
      <c r="D797" s="7"/>
      <c r="E797" s="7"/>
      <c r="F797" s="7"/>
      <c r="G797" s="7"/>
      <c r="H797" s="7"/>
      <c r="I797" s="7"/>
      <c r="J797" s="7"/>
      <c r="K797" s="7"/>
    </row>
    <row r="798">
      <c r="A798" s="7"/>
      <c r="B798" s="7"/>
      <c r="C798" s="7"/>
      <c r="D798" s="7"/>
      <c r="E798" s="7"/>
      <c r="F798" s="7"/>
      <c r="G798" s="7"/>
      <c r="H798" s="7"/>
      <c r="I798" s="7"/>
      <c r="J798" s="7"/>
      <c r="K798" s="7"/>
    </row>
    <row r="799">
      <c r="A799" s="7"/>
      <c r="B799" s="7"/>
      <c r="C799" s="7"/>
      <c r="D799" s="7"/>
      <c r="E799" s="7"/>
      <c r="F799" s="7"/>
      <c r="G799" s="7"/>
      <c r="H799" s="7"/>
      <c r="I799" s="7"/>
      <c r="J799" s="7"/>
      <c r="K799" s="7"/>
    </row>
    <row r="800">
      <c r="A800" s="7"/>
      <c r="B800" s="7"/>
      <c r="C800" s="7"/>
      <c r="D800" s="7"/>
      <c r="E800" s="7"/>
      <c r="F800" s="7"/>
      <c r="G800" s="7"/>
      <c r="H800" s="7"/>
      <c r="I800" s="7"/>
      <c r="J800" s="7"/>
      <c r="K800" s="7"/>
    </row>
    <row r="801">
      <c r="A801" s="7"/>
      <c r="B801" s="7"/>
      <c r="C801" s="7"/>
      <c r="D801" s="7"/>
      <c r="E801" s="7"/>
      <c r="F801" s="7"/>
      <c r="G801" s="7"/>
      <c r="H801" s="7"/>
      <c r="I801" s="7"/>
      <c r="J801" s="7"/>
      <c r="K801" s="7"/>
    </row>
    <row r="802">
      <c r="A802" s="7"/>
      <c r="B802" s="7"/>
      <c r="C802" s="7"/>
      <c r="D802" s="7"/>
      <c r="E802" s="7"/>
      <c r="F802" s="7"/>
      <c r="G802" s="7"/>
      <c r="H802" s="7"/>
      <c r="I802" s="7"/>
      <c r="J802" s="7"/>
      <c r="K802" s="7"/>
    </row>
    <row r="803">
      <c r="A803" s="7"/>
      <c r="B803" s="7"/>
      <c r="C803" s="7"/>
      <c r="D803" s="7"/>
      <c r="E803" s="7"/>
      <c r="F803" s="7"/>
      <c r="G803" s="7"/>
      <c r="H803" s="7"/>
      <c r="I803" s="7"/>
      <c r="J803" s="7"/>
      <c r="K803" s="7"/>
    </row>
    <row r="804">
      <c r="A804" s="7"/>
      <c r="B804" s="7"/>
      <c r="C804" s="7"/>
      <c r="D804" s="7"/>
      <c r="E804" s="7"/>
      <c r="F804" s="7"/>
      <c r="G804" s="7"/>
      <c r="H804" s="7"/>
      <c r="I804" s="7"/>
      <c r="J804" s="7"/>
      <c r="K804" s="7"/>
    </row>
    <row r="805">
      <c r="A805" s="7"/>
      <c r="B805" s="7"/>
      <c r="C805" s="7"/>
      <c r="D805" s="7"/>
      <c r="E805" s="7"/>
      <c r="F805" s="7"/>
      <c r="G805" s="7"/>
      <c r="H805" s="7"/>
      <c r="I805" s="7"/>
      <c r="J805" s="7"/>
      <c r="K805" s="7"/>
    </row>
    <row r="806">
      <c r="A806" s="7"/>
      <c r="B806" s="7"/>
      <c r="C806" s="7"/>
      <c r="D806" s="7"/>
      <c r="E806" s="7"/>
      <c r="F806" s="7"/>
      <c r="G806" s="7"/>
      <c r="H806" s="7"/>
      <c r="I806" s="7"/>
      <c r="J806" s="7"/>
      <c r="K806" s="7"/>
    </row>
    <row r="807">
      <c r="A807" s="7"/>
      <c r="B807" s="7"/>
      <c r="C807" s="7"/>
      <c r="D807" s="7"/>
      <c r="E807" s="7"/>
      <c r="F807" s="7"/>
      <c r="G807" s="7"/>
      <c r="H807" s="7"/>
      <c r="I807" s="7"/>
      <c r="J807" s="7"/>
      <c r="K807" s="7"/>
    </row>
    <row r="808">
      <c r="A808" s="7"/>
      <c r="B808" s="7"/>
      <c r="C808" s="7"/>
      <c r="D808" s="7"/>
      <c r="E808" s="7"/>
      <c r="F808" s="7"/>
      <c r="G808" s="7"/>
      <c r="H808" s="7"/>
      <c r="I808" s="7"/>
      <c r="J808" s="7"/>
      <c r="K808" s="7"/>
    </row>
    <row r="809">
      <c r="A809" s="7"/>
      <c r="B809" s="7"/>
      <c r="C809" s="7"/>
      <c r="D809" s="7"/>
      <c r="E809" s="7"/>
      <c r="F809" s="7"/>
      <c r="G809" s="7"/>
      <c r="H809" s="7"/>
      <c r="I809" s="7"/>
      <c r="J809" s="7"/>
      <c r="K809" s="7"/>
    </row>
    <row r="810">
      <c r="A810" s="7"/>
      <c r="B810" s="7"/>
      <c r="C810" s="7"/>
      <c r="D810" s="7"/>
      <c r="E810" s="7"/>
      <c r="F810" s="7"/>
      <c r="G810" s="7"/>
      <c r="H810" s="7"/>
      <c r="I810" s="7"/>
      <c r="J810" s="7"/>
      <c r="K810" s="7"/>
    </row>
    <row r="811">
      <c r="A811" s="7"/>
      <c r="B811" s="7"/>
      <c r="C811" s="7"/>
      <c r="D811" s="7"/>
      <c r="E811" s="7"/>
      <c r="F811" s="7"/>
      <c r="G811" s="7"/>
      <c r="H811" s="7"/>
      <c r="I811" s="7"/>
      <c r="J811" s="7"/>
      <c r="K811" s="7"/>
    </row>
    <row r="812">
      <c r="A812" s="7"/>
      <c r="B812" s="7"/>
      <c r="C812" s="7"/>
      <c r="D812" s="7"/>
      <c r="E812" s="7"/>
      <c r="F812" s="7"/>
      <c r="G812" s="7"/>
      <c r="H812" s="7"/>
      <c r="I812" s="7"/>
      <c r="J812" s="7"/>
      <c r="K812" s="7"/>
    </row>
    <row r="813">
      <c r="A813" s="7"/>
      <c r="B813" s="7"/>
      <c r="C813" s="7"/>
      <c r="D813" s="7"/>
      <c r="E813" s="7"/>
      <c r="F813" s="7"/>
      <c r="G813" s="7"/>
      <c r="H813" s="7"/>
      <c r="I813" s="7"/>
      <c r="J813" s="7"/>
      <c r="K813" s="7"/>
    </row>
    <row r="814">
      <c r="A814" s="7"/>
      <c r="B814" s="7"/>
      <c r="C814" s="7"/>
      <c r="D814" s="7"/>
      <c r="E814" s="7"/>
      <c r="F814" s="7"/>
      <c r="G814" s="7"/>
      <c r="H814" s="7"/>
      <c r="I814" s="7"/>
      <c r="J814" s="7"/>
      <c r="K814" s="7"/>
    </row>
    <row r="815">
      <c r="A815" s="7"/>
      <c r="B815" s="7"/>
      <c r="C815" s="7"/>
      <c r="D815" s="7"/>
      <c r="E815" s="7"/>
      <c r="F815" s="7"/>
      <c r="G815" s="7"/>
      <c r="H815" s="7"/>
      <c r="I815" s="7"/>
      <c r="J815" s="7"/>
      <c r="K815" s="7"/>
    </row>
    <row r="816">
      <c r="A816" s="7"/>
      <c r="B816" s="7"/>
      <c r="C816" s="7"/>
      <c r="D816" s="7"/>
      <c r="E816" s="7"/>
      <c r="F816" s="7"/>
      <c r="G816" s="7"/>
      <c r="H816" s="7"/>
      <c r="I816" s="7"/>
      <c r="J816" s="7"/>
      <c r="K816" s="7"/>
    </row>
    <row r="817">
      <c r="A817" s="7"/>
      <c r="B817" s="7"/>
      <c r="C817" s="7"/>
      <c r="D817" s="7"/>
      <c r="E817" s="7"/>
      <c r="F817" s="7"/>
      <c r="G817" s="7"/>
      <c r="H817" s="7"/>
      <c r="I817" s="7"/>
      <c r="J817" s="7"/>
      <c r="K817" s="7"/>
    </row>
    <row r="818">
      <c r="A818" s="7"/>
      <c r="B818" s="7"/>
      <c r="C818" s="7"/>
      <c r="D818" s="7"/>
      <c r="E818" s="7"/>
      <c r="F818" s="7"/>
      <c r="G818" s="7"/>
      <c r="H818" s="7"/>
      <c r="I818" s="7"/>
      <c r="J818" s="7"/>
      <c r="K818" s="7"/>
    </row>
    <row r="819">
      <c r="A819" s="7"/>
      <c r="B819" s="7"/>
      <c r="C819" s="7"/>
      <c r="D819" s="7"/>
      <c r="E819" s="7"/>
      <c r="F819" s="7"/>
      <c r="G819" s="7"/>
      <c r="H819" s="7"/>
      <c r="I819" s="7"/>
      <c r="J819" s="7"/>
      <c r="K819" s="7"/>
    </row>
    <row r="820">
      <c r="A820" s="7"/>
      <c r="B820" s="7"/>
      <c r="C820" s="7"/>
      <c r="D820" s="7"/>
      <c r="E820" s="7"/>
      <c r="F820" s="7"/>
      <c r="G820" s="7"/>
      <c r="H820" s="7"/>
      <c r="I820" s="7"/>
      <c r="J820" s="7"/>
      <c r="K820" s="7"/>
    </row>
    <row r="821">
      <c r="A821" s="7"/>
      <c r="B821" s="7"/>
      <c r="C821" s="7"/>
      <c r="D821" s="7"/>
      <c r="E821" s="7"/>
      <c r="F821" s="7"/>
      <c r="G821" s="7"/>
      <c r="H821" s="7"/>
      <c r="I821" s="7"/>
      <c r="J821" s="7"/>
      <c r="K821" s="7"/>
    </row>
    <row r="822">
      <c r="A822" s="7"/>
      <c r="B822" s="7"/>
      <c r="C822" s="7"/>
      <c r="D822" s="7"/>
      <c r="E822" s="7"/>
      <c r="F822" s="7"/>
      <c r="G822" s="7"/>
      <c r="H822" s="7"/>
      <c r="I822" s="7"/>
      <c r="J822" s="7"/>
      <c r="K822" s="7"/>
    </row>
    <row r="823">
      <c r="A823" s="7"/>
      <c r="B823" s="7"/>
      <c r="C823" s="7"/>
      <c r="D823" s="7"/>
      <c r="E823" s="7"/>
      <c r="F823" s="7"/>
      <c r="G823" s="7"/>
      <c r="H823" s="7"/>
      <c r="I823" s="7"/>
      <c r="J823" s="7"/>
      <c r="K823" s="7"/>
    </row>
    <row r="824">
      <c r="A824" s="7"/>
      <c r="B824" s="7"/>
      <c r="C824" s="7"/>
      <c r="D824" s="7"/>
      <c r="E824" s="7"/>
      <c r="F824" s="7"/>
      <c r="G824" s="7"/>
      <c r="H824" s="7"/>
      <c r="I824" s="7"/>
      <c r="J824" s="7"/>
      <c r="K824" s="7"/>
    </row>
    <row r="825">
      <c r="A825" s="7"/>
      <c r="B825" s="7"/>
      <c r="C825" s="7"/>
      <c r="D825" s="7"/>
      <c r="E825" s="7"/>
      <c r="F825" s="7"/>
      <c r="G825" s="7"/>
      <c r="H825" s="7"/>
      <c r="I825" s="7"/>
      <c r="J825" s="7"/>
      <c r="K825" s="7"/>
    </row>
    <row r="826">
      <c r="A826" s="7"/>
      <c r="B826" s="7"/>
      <c r="C826" s="7"/>
      <c r="D826" s="7"/>
      <c r="E826" s="7"/>
      <c r="F826" s="7"/>
      <c r="G826" s="7"/>
      <c r="H826" s="7"/>
      <c r="I826" s="7"/>
      <c r="J826" s="7"/>
      <c r="K826" s="7"/>
    </row>
    <row r="827">
      <c r="A827" s="7"/>
      <c r="B827" s="7"/>
      <c r="C827" s="7"/>
      <c r="D827" s="7"/>
      <c r="E827" s="7"/>
      <c r="F827" s="7"/>
      <c r="G827" s="7"/>
      <c r="H827" s="7"/>
      <c r="I827" s="7"/>
      <c r="J827" s="7"/>
      <c r="K827" s="7"/>
    </row>
    <row r="828">
      <c r="A828" s="7"/>
      <c r="B828" s="7"/>
      <c r="C828" s="7"/>
      <c r="D828" s="7"/>
      <c r="E828" s="7"/>
      <c r="F828" s="7"/>
      <c r="G828" s="7"/>
      <c r="H828" s="7"/>
      <c r="I828" s="7"/>
      <c r="J828" s="7"/>
      <c r="K828" s="7"/>
    </row>
    <row r="829">
      <c r="A829" s="7"/>
      <c r="B829" s="7"/>
      <c r="C829" s="7"/>
      <c r="D829" s="7"/>
      <c r="E829" s="7"/>
      <c r="F829" s="7"/>
      <c r="G829" s="7"/>
      <c r="H829" s="7"/>
      <c r="I829" s="7"/>
      <c r="J829" s="7"/>
      <c r="K829" s="7"/>
    </row>
    <row r="830">
      <c r="A830" s="7"/>
      <c r="B830" s="7"/>
      <c r="C830" s="7"/>
      <c r="D830" s="7"/>
      <c r="E830" s="7"/>
      <c r="F830" s="7"/>
      <c r="G830" s="7"/>
      <c r="H830" s="7"/>
      <c r="I830" s="7"/>
      <c r="J830" s="7"/>
      <c r="K830" s="7"/>
    </row>
    <row r="831">
      <c r="A831" s="7"/>
      <c r="B831" s="7"/>
      <c r="C831" s="7"/>
      <c r="D831" s="7"/>
      <c r="E831" s="7"/>
      <c r="F831" s="7"/>
      <c r="G831" s="7"/>
      <c r="H831" s="7"/>
      <c r="I831" s="7"/>
      <c r="J831" s="7"/>
      <c r="K831" s="7"/>
    </row>
    <row r="832">
      <c r="A832" s="7"/>
      <c r="B832" s="7"/>
      <c r="C832" s="7"/>
      <c r="D832" s="7"/>
      <c r="E832" s="7"/>
      <c r="F832" s="7"/>
      <c r="G832" s="7"/>
      <c r="H832" s="7"/>
      <c r="I832" s="7"/>
      <c r="J832" s="7"/>
      <c r="K832" s="7"/>
    </row>
    <row r="833">
      <c r="A833" s="7"/>
      <c r="B833" s="7"/>
      <c r="C833" s="7"/>
      <c r="D833" s="7"/>
      <c r="E833" s="7"/>
      <c r="F833" s="7"/>
      <c r="G833" s="7"/>
      <c r="H833" s="7"/>
      <c r="I833" s="7"/>
      <c r="J833" s="7"/>
      <c r="K833" s="7"/>
    </row>
    <row r="834">
      <c r="A834" s="7"/>
      <c r="B834" s="7"/>
      <c r="C834" s="7"/>
      <c r="D834" s="7"/>
      <c r="E834" s="7"/>
      <c r="F834" s="7"/>
      <c r="G834" s="7"/>
      <c r="H834" s="7"/>
      <c r="I834" s="7"/>
      <c r="J834" s="7"/>
      <c r="K834" s="7"/>
    </row>
    <row r="835">
      <c r="A835" s="7"/>
      <c r="B835" s="7"/>
      <c r="C835" s="7"/>
      <c r="D835" s="7"/>
      <c r="E835" s="7"/>
      <c r="F835" s="7"/>
      <c r="G835" s="7"/>
      <c r="H835" s="7"/>
      <c r="I835" s="7"/>
      <c r="J835" s="7"/>
      <c r="K835" s="7"/>
    </row>
    <row r="836">
      <c r="A836" s="7"/>
      <c r="B836" s="7"/>
      <c r="C836" s="7"/>
      <c r="D836" s="7"/>
      <c r="E836" s="7"/>
      <c r="F836" s="7"/>
      <c r="G836" s="7"/>
      <c r="H836" s="7"/>
      <c r="I836" s="7"/>
      <c r="J836" s="7"/>
      <c r="K836" s="7"/>
    </row>
    <row r="837">
      <c r="A837" s="7"/>
      <c r="B837" s="7"/>
      <c r="C837" s="7"/>
      <c r="D837" s="7"/>
      <c r="E837" s="7"/>
      <c r="F837" s="7"/>
      <c r="G837" s="7"/>
      <c r="H837" s="7"/>
      <c r="I837" s="7"/>
      <c r="J837" s="7"/>
      <c r="K837" s="7"/>
    </row>
    <row r="838">
      <c r="A838" s="7"/>
      <c r="B838" s="7"/>
      <c r="C838" s="7"/>
      <c r="D838" s="7"/>
      <c r="E838" s="7"/>
      <c r="F838" s="7"/>
      <c r="G838" s="7"/>
      <c r="H838" s="7"/>
      <c r="I838" s="7"/>
      <c r="J838" s="7"/>
      <c r="K838" s="7"/>
    </row>
    <row r="839">
      <c r="A839" s="7"/>
      <c r="B839" s="7"/>
      <c r="C839" s="7"/>
      <c r="D839" s="7"/>
      <c r="E839" s="7"/>
      <c r="F839" s="7"/>
      <c r="G839" s="7"/>
      <c r="H839" s="7"/>
      <c r="I839" s="7"/>
      <c r="J839" s="7"/>
      <c r="K839" s="7"/>
    </row>
    <row r="840">
      <c r="A840" s="7"/>
      <c r="B840" s="7"/>
      <c r="C840" s="7"/>
      <c r="D840" s="7"/>
      <c r="E840" s="7"/>
      <c r="F840" s="7"/>
      <c r="G840" s="7"/>
      <c r="H840" s="7"/>
      <c r="I840" s="7"/>
      <c r="J840" s="7"/>
      <c r="K840" s="7"/>
    </row>
    <row r="841">
      <c r="A841" s="7"/>
      <c r="B841" s="7"/>
      <c r="C841" s="7"/>
      <c r="D841" s="7"/>
      <c r="E841" s="7"/>
      <c r="F841" s="7"/>
      <c r="G841" s="7"/>
      <c r="H841" s="7"/>
      <c r="I841" s="7"/>
      <c r="J841" s="7"/>
      <c r="K841" s="7"/>
    </row>
    <row r="842">
      <c r="A842" s="7"/>
      <c r="B842" s="7"/>
      <c r="C842" s="7"/>
      <c r="D842" s="7"/>
      <c r="E842" s="7"/>
      <c r="F842" s="7"/>
      <c r="G842" s="7"/>
      <c r="H842" s="7"/>
      <c r="I842" s="7"/>
      <c r="J842" s="7"/>
      <c r="K842" s="7"/>
    </row>
    <row r="843">
      <c r="A843" s="7"/>
      <c r="B843" s="7"/>
      <c r="C843" s="7"/>
      <c r="D843" s="7"/>
      <c r="E843" s="7"/>
      <c r="F843" s="7"/>
      <c r="G843" s="7"/>
      <c r="H843" s="7"/>
      <c r="I843" s="7"/>
      <c r="J843" s="7"/>
      <c r="K843" s="7"/>
    </row>
    <row r="844">
      <c r="A844" s="7"/>
      <c r="B844" s="7"/>
      <c r="C844" s="7"/>
      <c r="D844" s="7"/>
      <c r="E844" s="7"/>
      <c r="F844" s="7"/>
      <c r="G844" s="7"/>
      <c r="H844" s="7"/>
      <c r="I844" s="7"/>
      <c r="J844" s="7"/>
      <c r="K844" s="7"/>
    </row>
    <row r="845">
      <c r="A845" s="7"/>
      <c r="B845" s="7"/>
      <c r="C845" s="7"/>
      <c r="D845" s="7"/>
      <c r="E845" s="7"/>
      <c r="F845" s="7"/>
      <c r="G845" s="7"/>
      <c r="H845" s="7"/>
      <c r="I845" s="7"/>
      <c r="J845" s="7"/>
      <c r="K845" s="7"/>
    </row>
    <row r="846">
      <c r="A846" s="7"/>
      <c r="B846" s="7"/>
      <c r="C846" s="7"/>
      <c r="D846" s="7"/>
      <c r="E846" s="7"/>
      <c r="F846" s="7"/>
      <c r="G846" s="7"/>
      <c r="H846" s="7"/>
      <c r="I846" s="7"/>
      <c r="J846" s="7"/>
      <c r="K846" s="7"/>
    </row>
    <row r="847">
      <c r="A847" s="7"/>
      <c r="B847" s="7"/>
      <c r="C847" s="7"/>
      <c r="D847" s="7"/>
      <c r="E847" s="7"/>
      <c r="F847" s="7"/>
      <c r="G847" s="7"/>
      <c r="H847" s="7"/>
      <c r="I847" s="7"/>
      <c r="J847" s="7"/>
      <c r="K847" s="7"/>
    </row>
    <row r="848">
      <c r="A848" s="7"/>
      <c r="B848" s="7"/>
      <c r="C848" s="7"/>
      <c r="D848" s="7"/>
      <c r="E848" s="7"/>
      <c r="F848" s="7"/>
      <c r="G848" s="7"/>
      <c r="H848" s="7"/>
      <c r="I848" s="7"/>
      <c r="J848" s="7"/>
      <c r="K848" s="7"/>
    </row>
    <row r="849">
      <c r="A849" s="7"/>
      <c r="B849" s="7"/>
      <c r="C849" s="7"/>
      <c r="D849" s="7"/>
      <c r="E849" s="7"/>
      <c r="F849" s="7"/>
      <c r="G849" s="7"/>
      <c r="H849" s="7"/>
      <c r="I849" s="7"/>
      <c r="J849" s="7"/>
      <c r="K849" s="7"/>
    </row>
    <row r="850">
      <c r="A850" s="7"/>
      <c r="B850" s="7"/>
      <c r="C850" s="7"/>
      <c r="D850" s="7"/>
      <c r="E850" s="7"/>
      <c r="F850" s="7"/>
      <c r="G850" s="7"/>
      <c r="H850" s="7"/>
      <c r="I850" s="7"/>
      <c r="J850" s="7"/>
      <c r="K850" s="7"/>
    </row>
    <row r="851">
      <c r="A851" s="7"/>
      <c r="B851" s="7"/>
      <c r="C851" s="7"/>
      <c r="D851" s="7"/>
      <c r="E851" s="7"/>
      <c r="F851" s="7"/>
      <c r="G851" s="7"/>
      <c r="H851" s="7"/>
      <c r="I851" s="7"/>
      <c r="J851" s="7"/>
      <c r="K851" s="7"/>
    </row>
    <row r="852">
      <c r="A852" s="7"/>
      <c r="B852" s="7"/>
      <c r="C852" s="7"/>
      <c r="D852" s="7"/>
      <c r="E852" s="7"/>
      <c r="F852" s="7"/>
      <c r="G852" s="7"/>
      <c r="H852" s="7"/>
      <c r="I852" s="7"/>
      <c r="J852" s="7"/>
      <c r="K852" s="7"/>
    </row>
    <row r="853">
      <c r="A853" s="7"/>
      <c r="B853" s="7"/>
      <c r="C853" s="7"/>
      <c r="D853" s="7"/>
      <c r="E853" s="7"/>
      <c r="F853" s="7"/>
      <c r="G853" s="7"/>
      <c r="H853" s="7"/>
      <c r="I853" s="7"/>
      <c r="J853" s="7"/>
      <c r="K853" s="7"/>
    </row>
    <row r="854">
      <c r="A854" s="7"/>
      <c r="B854" s="7"/>
      <c r="C854" s="7"/>
      <c r="D854" s="7"/>
      <c r="E854" s="7"/>
      <c r="F854" s="7"/>
      <c r="G854" s="7"/>
      <c r="H854" s="7"/>
      <c r="I854" s="7"/>
      <c r="J854" s="7"/>
      <c r="K854" s="7"/>
    </row>
    <row r="855">
      <c r="A855" s="7"/>
      <c r="B855" s="7"/>
      <c r="C855" s="7"/>
      <c r="D855" s="7"/>
      <c r="E855" s="7"/>
      <c r="F855" s="7"/>
      <c r="G855" s="7"/>
      <c r="H855" s="7"/>
      <c r="I855" s="7"/>
      <c r="J855" s="7"/>
      <c r="K855" s="7"/>
    </row>
    <row r="856">
      <c r="A856" s="7"/>
      <c r="B856" s="7"/>
      <c r="C856" s="7"/>
      <c r="D856" s="7"/>
      <c r="E856" s="7"/>
      <c r="F856" s="7"/>
      <c r="G856" s="7"/>
      <c r="H856" s="7"/>
      <c r="I856" s="7"/>
      <c r="J856" s="7"/>
      <c r="K856" s="7"/>
    </row>
    <row r="857">
      <c r="A857" s="7"/>
      <c r="B857" s="7"/>
      <c r="C857" s="7"/>
      <c r="D857" s="7"/>
      <c r="E857" s="7"/>
      <c r="F857" s="7"/>
      <c r="G857" s="7"/>
      <c r="H857" s="7"/>
      <c r="I857" s="7"/>
      <c r="J857" s="7"/>
      <c r="K857" s="7"/>
    </row>
    <row r="858">
      <c r="A858" s="7"/>
      <c r="B858" s="7"/>
      <c r="C858" s="7"/>
      <c r="D858" s="7"/>
      <c r="E858" s="7"/>
      <c r="F858" s="7"/>
      <c r="G858" s="7"/>
      <c r="H858" s="7"/>
      <c r="I858" s="7"/>
      <c r="J858" s="7"/>
      <c r="K858" s="7"/>
    </row>
    <row r="859">
      <c r="A859" s="7"/>
      <c r="B859" s="7"/>
      <c r="C859" s="7"/>
      <c r="D859" s="7"/>
      <c r="E859" s="7"/>
      <c r="F859" s="7"/>
      <c r="G859" s="7"/>
      <c r="H859" s="7"/>
      <c r="I859" s="7"/>
      <c r="J859" s="7"/>
      <c r="K859" s="7"/>
    </row>
    <row r="860">
      <c r="A860" s="7"/>
      <c r="B860" s="7"/>
      <c r="C860" s="7"/>
      <c r="D860" s="7"/>
      <c r="E860" s="7"/>
      <c r="F860" s="7"/>
      <c r="G860" s="7"/>
      <c r="H860" s="7"/>
      <c r="I860" s="7"/>
      <c r="J860" s="7"/>
      <c r="K860" s="7"/>
    </row>
    <row r="861">
      <c r="A861" s="7"/>
      <c r="B861" s="7"/>
      <c r="C861" s="7"/>
      <c r="D861" s="7"/>
      <c r="E861" s="7"/>
      <c r="F861" s="7"/>
      <c r="G861" s="7"/>
      <c r="H861" s="7"/>
      <c r="I861" s="7"/>
      <c r="J861" s="7"/>
      <c r="K861" s="7"/>
    </row>
    <row r="862">
      <c r="A862" s="7"/>
      <c r="B862" s="7"/>
      <c r="C862" s="7"/>
      <c r="D862" s="7"/>
      <c r="E862" s="7"/>
      <c r="F862" s="7"/>
      <c r="G862" s="7"/>
      <c r="H862" s="7"/>
      <c r="I862" s="7"/>
      <c r="J862" s="7"/>
      <c r="K862" s="7"/>
    </row>
    <row r="863">
      <c r="A863" s="7"/>
      <c r="B863" s="7"/>
      <c r="C863" s="7"/>
      <c r="D863" s="7"/>
      <c r="E863" s="7"/>
      <c r="F863" s="7"/>
      <c r="G863" s="7"/>
      <c r="H863" s="7"/>
      <c r="I863" s="7"/>
      <c r="J863" s="7"/>
      <c r="K863" s="7"/>
    </row>
    <row r="864">
      <c r="A864" s="7"/>
      <c r="B864" s="7"/>
      <c r="C864" s="7"/>
      <c r="D864" s="7"/>
      <c r="E864" s="7"/>
      <c r="F864" s="7"/>
      <c r="G864" s="7"/>
      <c r="H864" s="7"/>
      <c r="I864" s="7"/>
      <c r="J864" s="7"/>
      <c r="K864" s="7"/>
    </row>
    <row r="865">
      <c r="A865" s="7"/>
      <c r="B865" s="7"/>
      <c r="C865" s="7"/>
      <c r="D865" s="7"/>
      <c r="E865" s="7"/>
      <c r="F865" s="7"/>
      <c r="G865" s="7"/>
      <c r="H865" s="7"/>
      <c r="I865" s="7"/>
      <c r="J865" s="7"/>
      <c r="K865" s="7"/>
    </row>
    <row r="866">
      <c r="A866" s="7"/>
      <c r="B866" s="7"/>
      <c r="C866" s="7"/>
      <c r="D866" s="7"/>
      <c r="E866" s="7"/>
      <c r="F866" s="7"/>
      <c r="G866" s="7"/>
      <c r="H866" s="7"/>
      <c r="I866" s="7"/>
      <c r="J866" s="7"/>
      <c r="K866" s="7"/>
    </row>
    <row r="867">
      <c r="A867" s="7"/>
      <c r="B867" s="7"/>
      <c r="C867" s="7"/>
      <c r="D867" s="7"/>
      <c r="E867" s="7"/>
      <c r="F867" s="7"/>
      <c r="G867" s="7"/>
      <c r="H867" s="7"/>
      <c r="I867" s="7"/>
      <c r="J867" s="7"/>
      <c r="K867" s="7"/>
    </row>
    <row r="868">
      <c r="A868" s="7"/>
      <c r="B868" s="7"/>
      <c r="C868" s="7"/>
      <c r="D868" s="7"/>
      <c r="E868" s="7"/>
      <c r="F868" s="7"/>
      <c r="G868" s="7"/>
      <c r="H868" s="7"/>
      <c r="I868" s="7"/>
      <c r="J868" s="7"/>
      <c r="K868" s="7"/>
    </row>
    <row r="869">
      <c r="A869" s="7"/>
      <c r="B869" s="7"/>
      <c r="C869" s="7"/>
      <c r="D869" s="7"/>
      <c r="E869" s="7"/>
      <c r="F869" s="7"/>
      <c r="G869" s="7"/>
      <c r="H869" s="7"/>
      <c r="I869" s="7"/>
      <c r="J869" s="7"/>
      <c r="K869" s="7"/>
    </row>
    <row r="870">
      <c r="A870" s="7"/>
      <c r="B870" s="7"/>
      <c r="C870" s="7"/>
      <c r="D870" s="7"/>
      <c r="E870" s="7"/>
      <c r="F870" s="7"/>
      <c r="G870" s="7"/>
      <c r="H870" s="7"/>
      <c r="I870" s="7"/>
      <c r="J870" s="7"/>
      <c r="K870" s="7"/>
    </row>
    <row r="871">
      <c r="A871" s="7"/>
      <c r="B871" s="7"/>
      <c r="C871" s="7"/>
      <c r="D871" s="7"/>
      <c r="E871" s="7"/>
      <c r="F871" s="7"/>
      <c r="G871" s="7"/>
      <c r="H871" s="7"/>
      <c r="I871" s="7"/>
      <c r="J871" s="7"/>
      <c r="K871" s="7"/>
    </row>
    <row r="872">
      <c r="A872" s="7"/>
      <c r="B872" s="7"/>
      <c r="C872" s="7"/>
      <c r="D872" s="7"/>
      <c r="E872" s="7"/>
      <c r="F872" s="7"/>
      <c r="G872" s="7"/>
      <c r="H872" s="7"/>
      <c r="I872" s="7"/>
      <c r="J872" s="7"/>
      <c r="K872" s="7"/>
    </row>
    <row r="873">
      <c r="A873" s="7"/>
      <c r="B873" s="7"/>
      <c r="C873" s="7"/>
      <c r="D873" s="7"/>
      <c r="E873" s="7"/>
      <c r="F873" s="7"/>
      <c r="G873" s="7"/>
      <c r="H873" s="7"/>
      <c r="I873" s="7"/>
      <c r="J873" s="7"/>
      <c r="K873" s="7"/>
    </row>
    <row r="874">
      <c r="A874" s="7"/>
      <c r="B874" s="7"/>
      <c r="C874" s="7"/>
      <c r="D874" s="7"/>
      <c r="E874" s="7"/>
      <c r="F874" s="7"/>
      <c r="G874" s="7"/>
      <c r="H874" s="7"/>
      <c r="I874" s="7"/>
      <c r="J874" s="7"/>
      <c r="K874" s="7"/>
    </row>
    <row r="875">
      <c r="A875" s="7"/>
      <c r="B875" s="7"/>
      <c r="C875" s="7"/>
      <c r="D875" s="7"/>
      <c r="E875" s="7"/>
      <c r="F875" s="7"/>
      <c r="G875" s="7"/>
      <c r="H875" s="7"/>
      <c r="I875" s="7"/>
      <c r="J875" s="7"/>
      <c r="K875" s="7"/>
    </row>
    <row r="876">
      <c r="A876" s="7"/>
      <c r="B876" s="7"/>
      <c r="C876" s="7"/>
      <c r="D876" s="7"/>
      <c r="E876" s="7"/>
      <c r="F876" s="7"/>
      <c r="G876" s="7"/>
      <c r="H876" s="7"/>
      <c r="I876" s="7"/>
      <c r="J876" s="7"/>
      <c r="K876" s="7"/>
    </row>
    <row r="877">
      <c r="A877" s="7"/>
      <c r="B877" s="7"/>
      <c r="C877" s="7"/>
      <c r="D877" s="7"/>
      <c r="E877" s="7"/>
      <c r="F877" s="7"/>
      <c r="G877" s="7"/>
      <c r="H877" s="7"/>
      <c r="I877" s="7"/>
      <c r="J877" s="7"/>
      <c r="K877" s="7"/>
    </row>
    <row r="878">
      <c r="A878" s="7"/>
      <c r="B878" s="7"/>
      <c r="C878" s="7"/>
      <c r="D878" s="7"/>
      <c r="E878" s="7"/>
      <c r="F878" s="7"/>
      <c r="G878" s="7"/>
      <c r="H878" s="7"/>
      <c r="I878" s="7"/>
      <c r="J878" s="7"/>
      <c r="K878" s="7"/>
    </row>
    <row r="879">
      <c r="A879" s="7"/>
      <c r="B879" s="7"/>
      <c r="C879" s="7"/>
      <c r="D879" s="7"/>
      <c r="E879" s="7"/>
      <c r="F879" s="7"/>
      <c r="G879" s="7"/>
      <c r="H879" s="7"/>
      <c r="I879" s="7"/>
      <c r="J879" s="7"/>
      <c r="K879" s="7"/>
    </row>
    <row r="880">
      <c r="A880" s="7"/>
      <c r="B880" s="7"/>
      <c r="C880" s="7"/>
      <c r="D880" s="7"/>
      <c r="E880" s="7"/>
      <c r="F880" s="7"/>
      <c r="G880" s="7"/>
      <c r="H880" s="7"/>
      <c r="I880" s="7"/>
      <c r="J880" s="7"/>
      <c r="K880" s="7"/>
    </row>
    <row r="881">
      <c r="A881" s="7"/>
      <c r="B881" s="7"/>
      <c r="C881" s="7"/>
      <c r="D881" s="7"/>
      <c r="E881" s="7"/>
      <c r="F881" s="7"/>
      <c r="G881" s="7"/>
      <c r="H881" s="7"/>
      <c r="I881" s="7"/>
      <c r="J881" s="7"/>
      <c r="K881" s="7"/>
    </row>
    <row r="882">
      <c r="A882" s="7"/>
      <c r="B882" s="7"/>
      <c r="C882" s="7"/>
      <c r="D882" s="7"/>
      <c r="E882" s="7"/>
      <c r="F882" s="7"/>
      <c r="G882" s="7"/>
      <c r="H882" s="7"/>
      <c r="I882" s="7"/>
      <c r="J882" s="7"/>
      <c r="K882" s="7"/>
    </row>
    <row r="883">
      <c r="A883" s="7"/>
      <c r="B883" s="7"/>
      <c r="C883" s="7"/>
      <c r="D883" s="7"/>
      <c r="E883" s="7"/>
      <c r="F883" s="7"/>
      <c r="G883" s="7"/>
      <c r="H883" s="7"/>
      <c r="I883" s="7"/>
      <c r="J883" s="7"/>
      <c r="K883" s="7"/>
    </row>
    <row r="884">
      <c r="A884" s="7"/>
      <c r="B884" s="7"/>
      <c r="C884" s="7"/>
      <c r="D884" s="7"/>
      <c r="E884" s="7"/>
      <c r="F884" s="7"/>
      <c r="G884" s="7"/>
      <c r="H884" s="7"/>
      <c r="I884" s="7"/>
      <c r="J884" s="7"/>
      <c r="K884" s="7"/>
    </row>
    <row r="885">
      <c r="A885" s="7"/>
      <c r="B885" s="7"/>
      <c r="C885" s="7"/>
      <c r="D885" s="7"/>
      <c r="E885" s="7"/>
      <c r="F885" s="7"/>
      <c r="G885" s="7"/>
      <c r="H885" s="7"/>
      <c r="I885" s="7"/>
      <c r="J885" s="7"/>
      <c r="K885" s="7"/>
    </row>
    <row r="886">
      <c r="A886" s="7"/>
      <c r="B886" s="7"/>
      <c r="C886" s="7"/>
      <c r="D886" s="7"/>
      <c r="E886" s="7"/>
      <c r="F886" s="7"/>
      <c r="G886" s="7"/>
      <c r="H886" s="7"/>
      <c r="I886" s="7"/>
      <c r="J886" s="7"/>
      <c r="K886" s="7"/>
    </row>
    <row r="887">
      <c r="A887" s="7"/>
      <c r="B887" s="7"/>
      <c r="C887" s="7"/>
      <c r="D887" s="7"/>
      <c r="E887" s="7"/>
      <c r="F887" s="7"/>
      <c r="G887" s="7"/>
      <c r="H887" s="7"/>
      <c r="I887" s="7"/>
      <c r="J887" s="7"/>
      <c r="K887" s="7"/>
    </row>
    <row r="888">
      <c r="A888" s="7"/>
      <c r="B888" s="7"/>
      <c r="C888" s="7"/>
      <c r="D888" s="7"/>
      <c r="E888" s="7"/>
      <c r="F888" s="7"/>
      <c r="G888" s="7"/>
      <c r="H888" s="7"/>
      <c r="I888" s="7"/>
      <c r="J888" s="7"/>
      <c r="K888" s="7"/>
    </row>
    <row r="889">
      <c r="A889" s="7"/>
      <c r="B889" s="7"/>
      <c r="C889" s="7"/>
      <c r="D889" s="7"/>
      <c r="E889" s="7"/>
      <c r="F889" s="7"/>
      <c r="G889" s="7"/>
      <c r="H889" s="7"/>
      <c r="I889" s="7"/>
      <c r="J889" s="7"/>
      <c r="K889" s="7"/>
    </row>
    <row r="890">
      <c r="A890" s="7"/>
      <c r="B890" s="7"/>
      <c r="C890" s="7"/>
      <c r="D890" s="7"/>
      <c r="E890" s="7"/>
      <c r="F890" s="7"/>
      <c r="G890" s="7"/>
      <c r="H890" s="7"/>
      <c r="I890" s="7"/>
      <c r="J890" s="7"/>
      <c r="K890" s="7"/>
    </row>
    <row r="891">
      <c r="A891" s="7"/>
      <c r="B891" s="7"/>
      <c r="C891" s="7"/>
      <c r="D891" s="7"/>
      <c r="E891" s="7"/>
      <c r="F891" s="7"/>
      <c r="G891" s="7"/>
      <c r="H891" s="7"/>
      <c r="I891" s="7"/>
      <c r="J891" s="7"/>
      <c r="K891" s="7"/>
    </row>
    <row r="892">
      <c r="A892" s="7"/>
      <c r="B892" s="7"/>
      <c r="C892" s="7"/>
      <c r="D892" s="7"/>
      <c r="E892" s="7"/>
      <c r="F892" s="7"/>
      <c r="G892" s="7"/>
      <c r="H892" s="7"/>
      <c r="I892" s="7"/>
      <c r="J892" s="7"/>
      <c r="K892" s="7"/>
    </row>
    <row r="893">
      <c r="A893" s="7"/>
      <c r="B893" s="7"/>
      <c r="C893" s="7"/>
      <c r="D893" s="7"/>
      <c r="E893" s="7"/>
      <c r="F893" s="7"/>
      <c r="G893" s="7"/>
      <c r="H893" s="7"/>
      <c r="I893" s="7"/>
      <c r="J893" s="7"/>
      <c r="K893" s="7"/>
    </row>
    <row r="894">
      <c r="A894" s="7"/>
      <c r="B894" s="7"/>
      <c r="C894" s="7"/>
      <c r="D894" s="7"/>
      <c r="E894" s="7"/>
      <c r="F894" s="7"/>
      <c r="G894" s="7"/>
      <c r="H894" s="7"/>
      <c r="I894" s="7"/>
      <c r="J894" s="7"/>
      <c r="K894" s="7"/>
    </row>
    <row r="895">
      <c r="A895" s="7"/>
      <c r="B895" s="7"/>
      <c r="C895" s="7"/>
      <c r="D895" s="7"/>
      <c r="E895" s="7"/>
      <c r="F895" s="7"/>
      <c r="G895" s="7"/>
      <c r="H895" s="7"/>
      <c r="I895" s="7"/>
      <c r="J895" s="7"/>
      <c r="K895" s="7"/>
    </row>
    <row r="896">
      <c r="A896" s="7"/>
      <c r="B896" s="7"/>
      <c r="C896" s="7"/>
      <c r="D896" s="7"/>
      <c r="E896" s="7"/>
      <c r="F896" s="7"/>
      <c r="G896" s="7"/>
      <c r="H896" s="7"/>
      <c r="I896" s="7"/>
      <c r="J896" s="7"/>
      <c r="K896" s="7"/>
    </row>
    <row r="897">
      <c r="A897" s="7"/>
      <c r="B897" s="7"/>
      <c r="C897" s="7"/>
      <c r="D897" s="7"/>
      <c r="E897" s="7"/>
      <c r="F897" s="7"/>
      <c r="G897" s="7"/>
      <c r="H897" s="7"/>
      <c r="I897" s="7"/>
      <c r="J897" s="7"/>
      <c r="K897" s="7"/>
    </row>
    <row r="898">
      <c r="A898" s="7"/>
      <c r="B898" s="7"/>
      <c r="C898" s="7"/>
      <c r="D898" s="7"/>
      <c r="E898" s="7"/>
      <c r="F898" s="7"/>
      <c r="G898" s="7"/>
      <c r="H898" s="7"/>
      <c r="I898" s="7"/>
      <c r="J898" s="7"/>
      <c r="K898" s="7"/>
    </row>
    <row r="899">
      <c r="A899" s="7"/>
      <c r="B899" s="7"/>
      <c r="C899" s="7"/>
      <c r="D899" s="7"/>
      <c r="E899" s="7"/>
      <c r="F899" s="7"/>
      <c r="G899" s="7"/>
      <c r="H899" s="7"/>
      <c r="I899" s="7"/>
      <c r="J899" s="7"/>
      <c r="K899" s="7"/>
    </row>
    <row r="900">
      <c r="A900" s="7"/>
      <c r="B900" s="7"/>
      <c r="C900" s="7"/>
      <c r="D900" s="7"/>
      <c r="E900" s="7"/>
      <c r="F900" s="7"/>
      <c r="G900" s="7"/>
      <c r="H900" s="7"/>
      <c r="I900" s="7"/>
      <c r="J900" s="7"/>
      <c r="K900" s="7"/>
    </row>
    <row r="901">
      <c r="A901" s="7"/>
      <c r="B901" s="7"/>
      <c r="C901" s="7"/>
      <c r="D901" s="7"/>
      <c r="E901" s="7"/>
      <c r="F901" s="7"/>
      <c r="G901" s="7"/>
      <c r="H901" s="7"/>
      <c r="I901" s="7"/>
      <c r="J901" s="7"/>
      <c r="K901" s="7"/>
    </row>
    <row r="902">
      <c r="A902" s="7"/>
      <c r="B902" s="7"/>
      <c r="C902" s="7"/>
      <c r="D902" s="7"/>
      <c r="E902" s="7"/>
      <c r="F902" s="7"/>
      <c r="G902" s="7"/>
      <c r="H902" s="7"/>
      <c r="I902" s="7"/>
      <c r="J902" s="7"/>
      <c r="K902" s="7"/>
    </row>
    <row r="903">
      <c r="A903" s="7"/>
      <c r="B903" s="7"/>
      <c r="C903" s="7"/>
      <c r="D903" s="7"/>
      <c r="E903" s="7"/>
      <c r="F903" s="7"/>
      <c r="G903" s="7"/>
      <c r="H903" s="7"/>
      <c r="I903" s="7"/>
      <c r="J903" s="7"/>
      <c r="K903" s="7"/>
    </row>
    <row r="904">
      <c r="A904" s="7"/>
      <c r="B904" s="7"/>
      <c r="C904" s="7"/>
      <c r="D904" s="7"/>
      <c r="E904" s="7"/>
      <c r="F904" s="7"/>
      <c r="G904" s="7"/>
      <c r="H904" s="7"/>
      <c r="I904" s="7"/>
      <c r="J904" s="7"/>
      <c r="K904" s="7"/>
    </row>
    <row r="905">
      <c r="A905" s="7"/>
      <c r="B905" s="7"/>
      <c r="C905" s="7"/>
      <c r="D905" s="7"/>
      <c r="E905" s="7"/>
      <c r="F905" s="7"/>
      <c r="G905" s="7"/>
      <c r="H905" s="7"/>
      <c r="I905" s="7"/>
      <c r="J905" s="7"/>
      <c r="K905" s="7"/>
    </row>
    <row r="906">
      <c r="A906" s="7"/>
      <c r="B906" s="7"/>
      <c r="C906" s="7"/>
      <c r="D906" s="7"/>
      <c r="E906" s="7"/>
      <c r="F906" s="7"/>
      <c r="G906" s="7"/>
      <c r="H906" s="7"/>
      <c r="I906" s="7"/>
      <c r="J906" s="7"/>
      <c r="K906" s="7"/>
    </row>
    <row r="907">
      <c r="A907" s="7"/>
      <c r="B907" s="7"/>
      <c r="C907" s="7"/>
      <c r="D907" s="7"/>
      <c r="E907" s="7"/>
      <c r="F907" s="7"/>
      <c r="G907" s="7"/>
      <c r="H907" s="7"/>
      <c r="I907" s="7"/>
      <c r="J907" s="7"/>
      <c r="K907" s="7"/>
    </row>
    <row r="908">
      <c r="A908" s="7"/>
      <c r="B908" s="7"/>
      <c r="C908" s="7"/>
      <c r="D908" s="7"/>
      <c r="E908" s="7"/>
      <c r="F908" s="7"/>
      <c r="G908" s="7"/>
      <c r="H908" s="7"/>
      <c r="I908" s="7"/>
      <c r="J908" s="7"/>
      <c r="K908" s="7"/>
    </row>
    <row r="909">
      <c r="A909" s="7"/>
      <c r="B909" s="7"/>
      <c r="C909" s="7"/>
      <c r="D909" s="7"/>
      <c r="E909" s="7"/>
      <c r="F909" s="7"/>
      <c r="G909" s="7"/>
      <c r="H909" s="7"/>
      <c r="I909" s="7"/>
      <c r="J909" s="7"/>
      <c r="K909" s="7"/>
    </row>
    <row r="910">
      <c r="A910" s="7"/>
      <c r="B910" s="7"/>
      <c r="C910" s="7"/>
      <c r="D910" s="7"/>
      <c r="E910" s="7"/>
      <c r="F910" s="7"/>
      <c r="G910" s="7"/>
      <c r="H910" s="7"/>
      <c r="I910" s="7"/>
      <c r="J910" s="7"/>
      <c r="K910" s="7"/>
    </row>
    <row r="911">
      <c r="A911" s="7"/>
      <c r="B911" s="7"/>
      <c r="C911" s="7"/>
      <c r="D911" s="7"/>
      <c r="E911" s="7"/>
      <c r="F911" s="7"/>
      <c r="G911" s="7"/>
      <c r="H911" s="7"/>
      <c r="I911" s="7"/>
      <c r="J911" s="7"/>
      <c r="K911" s="7"/>
    </row>
    <row r="912">
      <c r="A912" s="7"/>
      <c r="B912" s="7"/>
      <c r="C912" s="7"/>
      <c r="D912" s="7"/>
      <c r="E912" s="7"/>
      <c r="F912" s="7"/>
      <c r="G912" s="7"/>
      <c r="H912" s="7"/>
      <c r="I912" s="7"/>
      <c r="J912" s="7"/>
      <c r="K912" s="7"/>
    </row>
    <row r="913">
      <c r="A913" s="7"/>
      <c r="B913" s="7"/>
      <c r="C913" s="7"/>
      <c r="D913" s="7"/>
      <c r="E913" s="7"/>
      <c r="F913" s="7"/>
      <c r="G913" s="7"/>
      <c r="H913" s="7"/>
      <c r="I913" s="7"/>
      <c r="J913" s="7"/>
      <c r="K913" s="7"/>
    </row>
    <row r="914">
      <c r="A914" s="7"/>
      <c r="B914" s="7"/>
      <c r="C914" s="7"/>
      <c r="D914" s="7"/>
      <c r="E914" s="7"/>
      <c r="F914" s="7"/>
      <c r="G914" s="7"/>
      <c r="H914" s="7"/>
      <c r="I914" s="7"/>
      <c r="J914" s="7"/>
      <c r="K914" s="7"/>
    </row>
    <row r="915">
      <c r="A915" s="7"/>
      <c r="B915" s="7"/>
      <c r="C915" s="7"/>
      <c r="D915" s="7"/>
      <c r="E915" s="7"/>
      <c r="F915" s="7"/>
      <c r="G915" s="7"/>
      <c r="H915" s="7"/>
      <c r="I915" s="7"/>
      <c r="J915" s="7"/>
      <c r="K915" s="7"/>
    </row>
    <row r="916">
      <c r="A916" s="7"/>
      <c r="B916" s="7"/>
      <c r="C916" s="7"/>
      <c r="D916" s="7"/>
      <c r="E916" s="7"/>
      <c r="F916" s="7"/>
      <c r="G916" s="7"/>
      <c r="H916" s="7"/>
      <c r="I916" s="7"/>
      <c r="J916" s="7"/>
      <c r="K916" s="7"/>
    </row>
    <row r="917">
      <c r="A917" s="7"/>
      <c r="B917" s="7"/>
      <c r="C917" s="7"/>
      <c r="D917" s="7"/>
      <c r="E917" s="7"/>
      <c r="F917" s="7"/>
      <c r="G917" s="7"/>
      <c r="H917" s="7"/>
      <c r="I917" s="7"/>
      <c r="J917" s="7"/>
      <c r="K917" s="7"/>
    </row>
    <row r="918">
      <c r="A918" s="7"/>
      <c r="B918" s="7"/>
      <c r="C918" s="7"/>
      <c r="D918" s="7"/>
      <c r="E918" s="7"/>
      <c r="F918" s="7"/>
      <c r="G918" s="7"/>
      <c r="H918" s="7"/>
      <c r="I918" s="7"/>
      <c r="J918" s="7"/>
      <c r="K918" s="7"/>
    </row>
    <row r="919">
      <c r="A919" s="7"/>
      <c r="B919" s="7"/>
      <c r="C919" s="7"/>
      <c r="D919" s="7"/>
      <c r="E919" s="7"/>
      <c r="F919" s="7"/>
      <c r="G919" s="7"/>
      <c r="H919" s="7"/>
      <c r="I919" s="7"/>
      <c r="J919" s="7"/>
      <c r="K919" s="7"/>
    </row>
    <row r="920">
      <c r="A920" s="7"/>
      <c r="B920" s="7"/>
      <c r="C920" s="7"/>
      <c r="D920" s="7"/>
      <c r="E920" s="7"/>
      <c r="F920" s="7"/>
      <c r="G920" s="7"/>
      <c r="H920" s="7"/>
      <c r="I920" s="7"/>
      <c r="J920" s="7"/>
      <c r="K920" s="7"/>
    </row>
    <row r="921">
      <c r="A921" s="7"/>
      <c r="B921" s="7"/>
      <c r="C921" s="7"/>
      <c r="D921" s="7"/>
      <c r="E921" s="7"/>
      <c r="F921" s="7"/>
      <c r="G921" s="7"/>
      <c r="H921" s="7"/>
      <c r="I921" s="7"/>
      <c r="J921" s="7"/>
      <c r="K921" s="7"/>
    </row>
    <row r="922">
      <c r="A922" s="7"/>
      <c r="B922" s="7"/>
      <c r="C922" s="7"/>
      <c r="D922" s="7"/>
      <c r="E922" s="7"/>
      <c r="F922" s="7"/>
      <c r="G922" s="7"/>
      <c r="H922" s="7"/>
      <c r="I922" s="7"/>
      <c r="J922" s="7"/>
      <c r="K922" s="7"/>
    </row>
    <row r="923">
      <c r="A923" s="7"/>
      <c r="B923" s="7"/>
      <c r="C923" s="7"/>
      <c r="D923" s="7"/>
      <c r="E923" s="7"/>
      <c r="F923" s="7"/>
      <c r="G923" s="7"/>
      <c r="H923" s="7"/>
      <c r="I923" s="7"/>
      <c r="J923" s="7"/>
      <c r="K923" s="7"/>
    </row>
    <row r="924">
      <c r="A924" s="7"/>
      <c r="B924" s="7"/>
      <c r="C924" s="7"/>
      <c r="D924" s="7"/>
      <c r="E924" s="7"/>
      <c r="F924" s="7"/>
      <c r="G924" s="7"/>
      <c r="H924" s="7"/>
      <c r="I924" s="7"/>
      <c r="J924" s="7"/>
      <c r="K924" s="7"/>
    </row>
    <row r="925">
      <c r="A925" s="7"/>
      <c r="B925" s="7"/>
      <c r="C925" s="7"/>
      <c r="D925" s="7"/>
      <c r="E925" s="7"/>
      <c r="F925" s="7"/>
      <c r="G925" s="7"/>
      <c r="H925" s="7"/>
      <c r="I925" s="7"/>
      <c r="J925" s="7"/>
      <c r="K925" s="7"/>
    </row>
    <row r="926">
      <c r="A926" s="7"/>
      <c r="B926" s="7"/>
      <c r="C926" s="7"/>
      <c r="D926" s="7"/>
      <c r="E926" s="7"/>
      <c r="F926" s="7"/>
      <c r="G926" s="7"/>
      <c r="H926" s="7"/>
      <c r="I926" s="7"/>
      <c r="J926" s="7"/>
      <c r="K926" s="7"/>
    </row>
    <row r="927">
      <c r="A927" s="7"/>
      <c r="B927" s="7"/>
      <c r="C927" s="7"/>
      <c r="D927" s="7"/>
      <c r="E927" s="7"/>
      <c r="F927" s="7"/>
      <c r="G927" s="7"/>
      <c r="H927" s="7"/>
      <c r="I927" s="7"/>
      <c r="J927" s="7"/>
      <c r="K927" s="7"/>
    </row>
    <row r="928">
      <c r="A928" s="7"/>
      <c r="B928" s="7"/>
      <c r="C928" s="7"/>
      <c r="D928" s="7"/>
      <c r="E928" s="7"/>
      <c r="F928" s="7"/>
      <c r="G928" s="7"/>
      <c r="H928" s="7"/>
      <c r="I928" s="7"/>
      <c r="J928" s="7"/>
      <c r="K928" s="7"/>
    </row>
    <row r="929">
      <c r="A929" s="7"/>
      <c r="B929" s="7"/>
      <c r="C929" s="7"/>
      <c r="D929" s="7"/>
      <c r="E929" s="7"/>
      <c r="F929" s="7"/>
      <c r="G929" s="7"/>
      <c r="H929" s="7"/>
      <c r="I929" s="7"/>
      <c r="J929" s="7"/>
      <c r="K929" s="7"/>
    </row>
    <row r="930">
      <c r="A930" s="7"/>
      <c r="B930" s="7"/>
      <c r="C930" s="7"/>
      <c r="D930" s="7"/>
      <c r="E930" s="7"/>
      <c r="F930" s="7"/>
      <c r="G930" s="7"/>
      <c r="H930" s="7"/>
      <c r="I930" s="7"/>
      <c r="J930" s="7"/>
      <c r="K930" s="7"/>
    </row>
    <row r="931">
      <c r="A931" s="7"/>
      <c r="B931" s="7"/>
      <c r="C931" s="7"/>
      <c r="D931" s="7"/>
      <c r="E931" s="7"/>
      <c r="F931" s="7"/>
      <c r="G931" s="7"/>
      <c r="H931" s="7"/>
      <c r="I931" s="7"/>
      <c r="J931" s="7"/>
      <c r="K931" s="7"/>
    </row>
    <row r="932">
      <c r="A932" s="7"/>
      <c r="B932" s="7"/>
      <c r="C932" s="7"/>
      <c r="D932" s="7"/>
      <c r="E932" s="7"/>
      <c r="F932" s="7"/>
      <c r="G932" s="7"/>
      <c r="H932" s="7"/>
      <c r="I932" s="7"/>
      <c r="J932" s="7"/>
      <c r="K932" s="7"/>
    </row>
    <row r="933">
      <c r="A933" s="7"/>
      <c r="B933" s="7"/>
      <c r="C933" s="7"/>
      <c r="D933" s="7"/>
      <c r="E933" s="7"/>
      <c r="F933" s="7"/>
      <c r="G933" s="7"/>
      <c r="H933" s="7"/>
      <c r="I933" s="7"/>
      <c r="J933" s="7"/>
      <c r="K933" s="7"/>
    </row>
    <row r="934">
      <c r="A934" s="7"/>
      <c r="B934" s="7"/>
      <c r="C934" s="7"/>
      <c r="D934" s="7"/>
      <c r="E934" s="7"/>
      <c r="F934" s="7"/>
      <c r="G934" s="7"/>
      <c r="H934" s="7"/>
      <c r="I934" s="7"/>
      <c r="J934" s="7"/>
      <c r="K934" s="7"/>
    </row>
    <row r="935">
      <c r="A935" s="7"/>
      <c r="B935" s="7"/>
      <c r="C935" s="7"/>
      <c r="D935" s="7"/>
      <c r="E935" s="7"/>
      <c r="F935" s="7"/>
      <c r="G935" s="7"/>
      <c r="H935" s="7"/>
      <c r="I935" s="7"/>
      <c r="J935" s="7"/>
      <c r="K935" s="7"/>
    </row>
    <row r="936">
      <c r="A936" s="7"/>
      <c r="B936" s="7"/>
      <c r="C936" s="7"/>
      <c r="D936" s="7"/>
      <c r="E936" s="7"/>
      <c r="F936" s="7"/>
      <c r="G936" s="7"/>
      <c r="H936" s="7"/>
      <c r="I936" s="7"/>
      <c r="J936" s="7"/>
      <c r="K936" s="7"/>
    </row>
    <row r="937">
      <c r="A937" s="7"/>
      <c r="B937" s="7"/>
      <c r="C937" s="7"/>
      <c r="D937" s="7"/>
      <c r="E937" s="7"/>
      <c r="F937" s="7"/>
      <c r="G937" s="7"/>
      <c r="H937" s="7"/>
      <c r="I937" s="7"/>
      <c r="J937" s="7"/>
      <c r="K937" s="7"/>
    </row>
    <row r="938">
      <c r="A938" s="7"/>
      <c r="B938" s="7"/>
      <c r="C938" s="7"/>
      <c r="D938" s="7"/>
      <c r="E938" s="7"/>
      <c r="F938" s="7"/>
      <c r="G938" s="7"/>
      <c r="H938" s="7"/>
      <c r="I938" s="7"/>
      <c r="J938" s="7"/>
      <c r="K938" s="7"/>
    </row>
    <row r="939">
      <c r="A939" s="7"/>
      <c r="B939" s="7"/>
      <c r="C939" s="7"/>
      <c r="D939" s="7"/>
      <c r="E939" s="7"/>
      <c r="F939" s="7"/>
      <c r="G939" s="7"/>
      <c r="H939" s="7"/>
      <c r="I939" s="7"/>
      <c r="J939" s="7"/>
      <c r="K939" s="7"/>
    </row>
    <row r="940">
      <c r="A940" s="7"/>
      <c r="B940" s="7"/>
      <c r="C940" s="7"/>
      <c r="D940" s="7"/>
      <c r="E940" s="7"/>
      <c r="F940" s="7"/>
      <c r="G940" s="7"/>
      <c r="H940" s="7"/>
      <c r="I940" s="7"/>
      <c r="J940" s="7"/>
      <c r="K940" s="7"/>
    </row>
    <row r="941">
      <c r="A941" s="7"/>
      <c r="B941" s="7"/>
      <c r="C941" s="7"/>
      <c r="D941" s="7"/>
      <c r="E941" s="7"/>
      <c r="F941" s="7"/>
      <c r="G941" s="7"/>
      <c r="H941" s="7"/>
      <c r="I941" s="7"/>
      <c r="J941" s="7"/>
      <c r="K941" s="7"/>
    </row>
    <row r="942">
      <c r="A942" s="7"/>
      <c r="B942" s="7"/>
      <c r="C942" s="7"/>
      <c r="D942" s="7"/>
      <c r="E942" s="7"/>
      <c r="F942" s="7"/>
      <c r="G942" s="7"/>
      <c r="H942" s="7"/>
      <c r="I942" s="7"/>
      <c r="J942" s="7"/>
      <c r="K942" s="7"/>
    </row>
    <row r="943">
      <c r="A943" s="7"/>
      <c r="B943" s="7"/>
      <c r="C943" s="7"/>
      <c r="D943" s="7"/>
      <c r="E943" s="7"/>
      <c r="F943" s="7"/>
      <c r="G943" s="7"/>
      <c r="H943" s="7"/>
      <c r="I943" s="7"/>
      <c r="J943" s="7"/>
      <c r="K943" s="7"/>
    </row>
    <row r="944">
      <c r="A944" s="7"/>
      <c r="B944" s="7"/>
      <c r="C944" s="7"/>
      <c r="D944" s="7"/>
      <c r="E944" s="7"/>
      <c r="F944" s="7"/>
      <c r="G944" s="7"/>
      <c r="H944" s="7"/>
      <c r="I944" s="7"/>
      <c r="J944" s="7"/>
      <c r="K944" s="7"/>
    </row>
    <row r="945">
      <c r="A945" s="7"/>
      <c r="B945" s="7"/>
      <c r="C945" s="7"/>
      <c r="D945" s="7"/>
      <c r="E945" s="7"/>
      <c r="F945" s="7"/>
      <c r="G945" s="7"/>
      <c r="H945" s="7"/>
      <c r="I945" s="7"/>
      <c r="J945" s="7"/>
      <c r="K945" s="7"/>
    </row>
    <row r="946">
      <c r="A946" s="7"/>
      <c r="B946" s="7"/>
      <c r="C946" s="7"/>
      <c r="D946" s="7"/>
      <c r="E946" s="7"/>
      <c r="F946" s="7"/>
      <c r="G946" s="7"/>
      <c r="H946" s="7"/>
      <c r="I946" s="7"/>
      <c r="J946" s="7"/>
      <c r="K946" s="7"/>
    </row>
    <row r="947">
      <c r="A947" s="7"/>
      <c r="B947" s="7"/>
      <c r="C947" s="7"/>
      <c r="D947" s="7"/>
      <c r="E947" s="7"/>
      <c r="F947" s="7"/>
      <c r="G947" s="7"/>
      <c r="H947" s="7"/>
      <c r="I947" s="7"/>
      <c r="J947" s="7"/>
      <c r="K947" s="7"/>
    </row>
    <row r="948">
      <c r="A948" s="7"/>
      <c r="B948" s="7"/>
      <c r="C948" s="7"/>
      <c r="D948" s="7"/>
      <c r="E948" s="7"/>
      <c r="F948" s="7"/>
      <c r="G948" s="7"/>
      <c r="H948" s="7"/>
      <c r="I948" s="7"/>
      <c r="J948" s="7"/>
      <c r="K948" s="7"/>
    </row>
    <row r="949">
      <c r="A949" s="7"/>
      <c r="B949" s="7"/>
      <c r="C949" s="7"/>
      <c r="D949" s="7"/>
      <c r="E949" s="7"/>
      <c r="F949" s="7"/>
      <c r="G949" s="7"/>
      <c r="H949" s="7"/>
      <c r="I949" s="7"/>
      <c r="J949" s="7"/>
      <c r="K949" s="7"/>
    </row>
    <row r="950">
      <c r="A950" s="7"/>
      <c r="B950" s="7"/>
      <c r="C950" s="7"/>
      <c r="D950" s="7"/>
      <c r="E950" s="7"/>
      <c r="F950" s="7"/>
      <c r="G950" s="7"/>
      <c r="H950" s="7"/>
      <c r="I950" s="7"/>
      <c r="J950" s="7"/>
      <c r="K950" s="7"/>
    </row>
    <row r="951">
      <c r="A951" s="7"/>
      <c r="B951" s="7"/>
      <c r="C951" s="7"/>
      <c r="D951" s="7"/>
      <c r="E951" s="7"/>
      <c r="F951" s="7"/>
      <c r="G951" s="7"/>
      <c r="H951" s="7"/>
      <c r="I951" s="7"/>
      <c r="J951" s="7"/>
      <c r="K951" s="7"/>
    </row>
    <row r="952">
      <c r="A952" s="7"/>
      <c r="B952" s="7"/>
      <c r="C952" s="7"/>
      <c r="D952" s="7"/>
      <c r="E952" s="7"/>
      <c r="F952" s="7"/>
      <c r="G952" s="7"/>
      <c r="H952" s="7"/>
      <c r="I952" s="7"/>
      <c r="J952" s="7"/>
      <c r="K952" s="7"/>
    </row>
    <row r="953">
      <c r="A953" s="7"/>
      <c r="B953" s="7"/>
      <c r="C953" s="7"/>
      <c r="D953" s="7"/>
      <c r="E953" s="7"/>
      <c r="F953" s="7"/>
      <c r="G953" s="7"/>
      <c r="H953" s="7"/>
      <c r="I953" s="7"/>
      <c r="J953" s="7"/>
      <c r="K953" s="7"/>
    </row>
    <row r="954">
      <c r="A954" s="7"/>
      <c r="B954" s="7"/>
      <c r="C954" s="7"/>
      <c r="D954" s="7"/>
      <c r="E954" s="7"/>
      <c r="F954" s="7"/>
      <c r="G954" s="7"/>
      <c r="H954" s="7"/>
      <c r="I954" s="7"/>
      <c r="J954" s="7"/>
      <c r="K954" s="7"/>
    </row>
    <row r="955">
      <c r="A955" s="7"/>
      <c r="B955" s="7"/>
      <c r="C955" s="7"/>
      <c r="D955" s="7"/>
      <c r="E955" s="7"/>
      <c r="F955" s="7"/>
      <c r="G955" s="7"/>
      <c r="H955" s="7"/>
      <c r="I955" s="7"/>
      <c r="J955" s="7"/>
      <c r="K955" s="7"/>
    </row>
    <row r="956">
      <c r="A956" s="7"/>
      <c r="B956" s="7"/>
      <c r="C956" s="7"/>
      <c r="D956" s="7"/>
      <c r="E956" s="7"/>
      <c r="F956" s="7"/>
      <c r="G956" s="7"/>
      <c r="H956" s="7"/>
      <c r="I956" s="7"/>
      <c r="J956" s="7"/>
      <c r="K956" s="7"/>
    </row>
    <row r="957">
      <c r="A957" s="7"/>
      <c r="B957" s="7"/>
      <c r="C957" s="7"/>
      <c r="D957" s="7"/>
      <c r="E957" s="7"/>
      <c r="F957" s="7"/>
      <c r="G957" s="7"/>
      <c r="H957" s="7"/>
      <c r="I957" s="7"/>
      <c r="J957" s="7"/>
      <c r="K957" s="7"/>
    </row>
    <row r="958">
      <c r="A958" s="7"/>
      <c r="B958" s="7"/>
      <c r="C958" s="7"/>
      <c r="D958" s="7"/>
      <c r="E958" s="7"/>
      <c r="F958" s="7"/>
      <c r="G958" s="7"/>
      <c r="H958" s="7"/>
      <c r="I958" s="7"/>
      <c r="J958" s="7"/>
      <c r="K958" s="7"/>
    </row>
    <row r="959">
      <c r="A959" s="7"/>
      <c r="B959" s="7"/>
      <c r="C959" s="7"/>
      <c r="D959" s="7"/>
      <c r="E959" s="7"/>
      <c r="F959" s="7"/>
      <c r="G959" s="7"/>
      <c r="H959" s="7"/>
      <c r="I959" s="7"/>
      <c r="J959" s="7"/>
      <c r="K959" s="7"/>
    </row>
    <row r="960">
      <c r="A960" s="7"/>
      <c r="B960" s="7"/>
      <c r="C960" s="7"/>
      <c r="D960" s="7"/>
      <c r="E960" s="7"/>
      <c r="F960" s="7"/>
      <c r="G960" s="7"/>
      <c r="H960" s="7"/>
      <c r="I960" s="7"/>
      <c r="J960" s="7"/>
      <c r="K960" s="7"/>
    </row>
    <row r="961">
      <c r="A961" s="7"/>
      <c r="B961" s="7"/>
      <c r="C961" s="7"/>
      <c r="D961" s="7"/>
      <c r="E961" s="7"/>
      <c r="F961" s="7"/>
      <c r="G961" s="7"/>
      <c r="H961" s="7"/>
      <c r="I961" s="7"/>
      <c r="J961" s="7"/>
      <c r="K961" s="7"/>
    </row>
    <row r="962">
      <c r="A962" s="7"/>
      <c r="B962" s="7"/>
      <c r="C962" s="7"/>
      <c r="D962" s="7"/>
      <c r="E962" s="7"/>
      <c r="F962" s="7"/>
      <c r="G962" s="7"/>
      <c r="H962" s="7"/>
      <c r="I962" s="7"/>
      <c r="J962" s="7"/>
      <c r="K962" s="7"/>
    </row>
    <row r="963">
      <c r="A963" s="7"/>
      <c r="B963" s="7"/>
      <c r="C963" s="7"/>
      <c r="D963" s="7"/>
      <c r="E963" s="7"/>
      <c r="F963" s="7"/>
      <c r="G963" s="7"/>
      <c r="H963" s="7"/>
      <c r="I963" s="7"/>
      <c r="J963" s="7"/>
      <c r="K963" s="7"/>
    </row>
    <row r="964">
      <c r="A964" s="7"/>
      <c r="B964" s="7"/>
      <c r="C964" s="7"/>
      <c r="D964" s="7"/>
      <c r="E964" s="7"/>
      <c r="F964" s="7"/>
      <c r="G964" s="7"/>
      <c r="H964" s="7"/>
      <c r="I964" s="7"/>
      <c r="J964" s="7"/>
      <c r="K964" s="7"/>
    </row>
    <row r="965">
      <c r="A965" s="7"/>
      <c r="B965" s="7"/>
      <c r="C965" s="7"/>
      <c r="D965" s="7"/>
      <c r="E965" s="7"/>
      <c r="F965" s="7"/>
      <c r="G965" s="7"/>
      <c r="H965" s="7"/>
      <c r="I965" s="7"/>
      <c r="J965" s="7"/>
      <c r="K965" s="7"/>
    </row>
    <row r="966">
      <c r="A966" s="7"/>
      <c r="B966" s="7"/>
      <c r="C966" s="7"/>
      <c r="D966" s="7"/>
      <c r="E966" s="7"/>
      <c r="F966" s="7"/>
      <c r="G966" s="7"/>
      <c r="H966" s="7"/>
      <c r="I966" s="7"/>
      <c r="J966" s="7"/>
      <c r="K966" s="7"/>
    </row>
    <row r="967">
      <c r="A967" s="7"/>
      <c r="B967" s="7"/>
      <c r="C967" s="7"/>
      <c r="D967" s="7"/>
      <c r="E967" s="7"/>
      <c r="F967" s="7"/>
      <c r="G967" s="7"/>
      <c r="H967" s="7"/>
      <c r="I967" s="7"/>
      <c r="J967" s="7"/>
      <c r="K967" s="7"/>
    </row>
    <row r="968">
      <c r="A968" s="7"/>
      <c r="B968" s="7"/>
      <c r="C968" s="7"/>
      <c r="D968" s="7"/>
      <c r="E968" s="7"/>
      <c r="F968" s="7"/>
      <c r="G968" s="7"/>
      <c r="H968" s="7"/>
      <c r="I968" s="7"/>
      <c r="J968" s="7"/>
      <c r="K968" s="7"/>
    </row>
    <row r="969">
      <c r="A969" s="7"/>
      <c r="B969" s="7"/>
      <c r="C969" s="7"/>
      <c r="D969" s="7"/>
      <c r="E969" s="7"/>
      <c r="F969" s="7"/>
      <c r="G969" s="7"/>
      <c r="H969" s="7"/>
      <c r="I969" s="7"/>
      <c r="J969" s="7"/>
      <c r="K969" s="7"/>
    </row>
    <row r="970">
      <c r="A970" s="7"/>
      <c r="B970" s="7"/>
      <c r="C970" s="7"/>
      <c r="D970" s="7"/>
      <c r="E970" s="7"/>
      <c r="F970" s="7"/>
      <c r="G970" s="7"/>
      <c r="H970" s="7"/>
      <c r="I970" s="7"/>
      <c r="J970" s="7"/>
      <c r="K970" s="7"/>
    </row>
    <row r="971">
      <c r="A971" s="7"/>
      <c r="B971" s="7"/>
      <c r="C971" s="7"/>
      <c r="D971" s="7"/>
      <c r="E971" s="7"/>
      <c r="F971" s="7"/>
      <c r="G971" s="7"/>
      <c r="H971" s="7"/>
      <c r="I971" s="7"/>
      <c r="J971" s="7"/>
      <c r="K971" s="7"/>
    </row>
    <row r="972">
      <c r="A972" s="7"/>
      <c r="B972" s="7"/>
      <c r="C972" s="7"/>
      <c r="D972" s="7"/>
      <c r="E972" s="7"/>
      <c r="F972" s="7"/>
      <c r="G972" s="7"/>
      <c r="H972" s="7"/>
      <c r="I972" s="7"/>
      <c r="J972" s="7"/>
      <c r="K972" s="7"/>
    </row>
    <row r="973">
      <c r="A973" s="7"/>
      <c r="B973" s="7"/>
      <c r="C973" s="7"/>
      <c r="D973" s="7"/>
      <c r="E973" s="7"/>
      <c r="F973" s="7"/>
      <c r="G973" s="7"/>
      <c r="H973" s="7"/>
      <c r="I973" s="7"/>
      <c r="J973" s="7"/>
      <c r="K973" s="7"/>
    </row>
    <row r="974">
      <c r="A974" s="7"/>
      <c r="B974" s="7"/>
      <c r="C974" s="7"/>
      <c r="D974" s="7"/>
      <c r="E974" s="7"/>
      <c r="F974" s="7"/>
      <c r="G974" s="7"/>
      <c r="H974" s="7"/>
      <c r="I974" s="7"/>
      <c r="J974" s="7"/>
      <c r="K974" s="7"/>
    </row>
    <row r="975">
      <c r="A975" s="7"/>
      <c r="B975" s="7"/>
      <c r="C975" s="7"/>
      <c r="D975" s="7"/>
      <c r="E975" s="7"/>
      <c r="F975" s="7"/>
      <c r="G975" s="7"/>
      <c r="H975" s="7"/>
      <c r="I975" s="7"/>
      <c r="J975" s="7"/>
      <c r="K975" s="7"/>
    </row>
    <row r="976">
      <c r="A976" s="7"/>
      <c r="B976" s="7"/>
      <c r="C976" s="7"/>
      <c r="D976" s="7"/>
      <c r="E976" s="7"/>
      <c r="F976" s="7"/>
      <c r="G976" s="7"/>
      <c r="H976" s="7"/>
      <c r="I976" s="7"/>
      <c r="J976" s="7"/>
      <c r="K976" s="7"/>
    </row>
    <row r="977">
      <c r="A977" s="7"/>
      <c r="B977" s="7"/>
      <c r="C977" s="7"/>
      <c r="D977" s="7"/>
      <c r="E977" s="7"/>
      <c r="F977" s="7"/>
      <c r="G977" s="7"/>
      <c r="H977" s="7"/>
      <c r="I977" s="7"/>
      <c r="J977" s="7"/>
      <c r="K977" s="7"/>
    </row>
    <row r="978">
      <c r="A978" s="7"/>
      <c r="B978" s="7"/>
      <c r="C978" s="7"/>
      <c r="D978" s="7"/>
      <c r="E978" s="7"/>
      <c r="F978" s="7"/>
      <c r="G978" s="7"/>
      <c r="H978" s="7"/>
      <c r="I978" s="7"/>
      <c r="J978" s="7"/>
      <c r="K978" s="7"/>
    </row>
    <row r="979">
      <c r="A979" s="7"/>
      <c r="B979" s="7"/>
      <c r="C979" s="7"/>
      <c r="D979" s="7"/>
      <c r="E979" s="7"/>
      <c r="F979" s="7"/>
      <c r="G979" s="7"/>
      <c r="H979" s="7"/>
      <c r="I979" s="7"/>
      <c r="J979" s="7"/>
      <c r="K979" s="7"/>
    </row>
    <row r="980">
      <c r="A980" s="7"/>
      <c r="B980" s="7"/>
      <c r="C980" s="7"/>
      <c r="D980" s="7"/>
      <c r="E980" s="7"/>
      <c r="F980" s="7"/>
      <c r="G980" s="7"/>
      <c r="H980" s="7"/>
      <c r="I980" s="7"/>
      <c r="J980" s="7"/>
      <c r="K980" s="7"/>
    </row>
    <row r="981">
      <c r="A981" s="7"/>
      <c r="B981" s="7"/>
      <c r="C981" s="7"/>
      <c r="D981" s="7"/>
      <c r="E981" s="7"/>
      <c r="F981" s="7"/>
      <c r="G981" s="7"/>
      <c r="H981" s="7"/>
      <c r="I981" s="7"/>
      <c r="J981" s="7"/>
      <c r="K981" s="7"/>
    </row>
    <row r="982">
      <c r="A982" s="7"/>
      <c r="B982" s="7"/>
      <c r="C982" s="7"/>
      <c r="D982" s="7"/>
      <c r="E982" s="7"/>
      <c r="F982" s="7"/>
      <c r="G982" s="7"/>
      <c r="H982" s="7"/>
      <c r="I982" s="7"/>
      <c r="J982" s="7"/>
      <c r="K982" s="7"/>
    </row>
    <row r="983">
      <c r="A983" s="7"/>
      <c r="B983" s="7"/>
      <c r="C983" s="7"/>
      <c r="D983" s="7"/>
      <c r="E983" s="7"/>
      <c r="F983" s="7"/>
      <c r="G983" s="7"/>
      <c r="H983" s="7"/>
      <c r="I983" s="7"/>
      <c r="J983" s="7"/>
      <c r="K983" s="7"/>
    </row>
    <row r="984">
      <c r="A984" s="7"/>
      <c r="B984" s="7"/>
      <c r="C984" s="7"/>
      <c r="D984" s="7"/>
      <c r="E984" s="7"/>
      <c r="F984" s="7"/>
      <c r="G984" s="7"/>
      <c r="H984" s="7"/>
      <c r="I984" s="7"/>
      <c r="J984" s="7"/>
      <c r="K984" s="7"/>
    </row>
    <row r="985">
      <c r="A985" s="7"/>
      <c r="B985" s="7"/>
      <c r="C985" s="7"/>
      <c r="D985" s="7"/>
      <c r="E985" s="7"/>
      <c r="F985" s="7"/>
      <c r="G985" s="7"/>
      <c r="H985" s="7"/>
      <c r="I985" s="7"/>
      <c r="J985" s="7"/>
      <c r="K985" s="7"/>
    </row>
    <row r="986">
      <c r="A986" s="7"/>
      <c r="B986" s="7"/>
      <c r="C986" s="7"/>
      <c r="D986" s="7"/>
      <c r="E986" s="7"/>
      <c r="F986" s="7"/>
      <c r="G986" s="7"/>
      <c r="H986" s="7"/>
      <c r="I986" s="7"/>
      <c r="J986" s="7"/>
      <c r="K986" s="7"/>
    </row>
    <row r="987">
      <c r="A987" s="7"/>
      <c r="B987" s="7"/>
      <c r="C987" s="7"/>
      <c r="D987" s="7"/>
      <c r="E987" s="7"/>
      <c r="F987" s="7"/>
      <c r="G987" s="7"/>
      <c r="H987" s="7"/>
      <c r="I987" s="7"/>
      <c r="J987" s="7"/>
      <c r="K987" s="7"/>
    </row>
    <row r="988">
      <c r="A988" s="7"/>
      <c r="B988" s="7"/>
      <c r="C988" s="7"/>
      <c r="D988" s="7"/>
      <c r="E988" s="7"/>
      <c r="F988" s="7"/>
      <c r="G988" s="7"/>
      <c r="H988" s="7"/>
      <c r="I988" s="7"/>
      <c r="J988" s="7"/>
      <c r="K988" s="7"/>
    </row>
    <row r="989">
      <c r="A989" s="7"/>
      <c r="B989" s="7"/>
      <c r="C989" s="7"/>
      <c r="D989" s="7"/>
      <c r="E989" s="7"/>
      <c r="F989" s="7"/>
      <c r="G989" s="7"/>
      <c r="H989" s="7"/>
      <c r="I989" s="7"/>
      <c r="J989" s="7"/>
      <c r="K989" s="7"/>
    </row>
    <row r="990">
      <c r="A990" s="7"/>
      <c r="B990" s="7"/>
      <c r="C990" s="7"/>
      <c r="D990" s="7"/>
      <c r="E990" s="7"/>
      <c r="F990" s="7"/>
      <c r="G990" s="7"/>
      <c r="H990" s="7"/>
      <c r="I990" s="7"/>
      <c r="J990" s="7"/>
      <c r="K990" s="7"/>
    </row>
    <row r="991">
      <c r="A991" s="7"/>
      <c r="B991" s="7"/>
      <c r="C991" s="7"/>
      <c r="D991" s="7"/>
      <c r="E991" s="7"/>
      <c r="F991" s="7"/>
      <c r="G991" s="7"/>
      <c r="H991" s="7"/>
      <c r="I991" s="7"/>
      <c r="J991" s="7"/>
      <c r="K991" s="7"/>
    </row>
    <row r="992">
      <c r="A992" s="7"/>
      <c r="B992" s="7"/>
      <c r="C992" s="7"/>
      <c r="D992" s="7"/>
      <c r="E992" s="7"/>
      <c r="F992" s="7"/>
      <c r="G992" s="7"/>
      <c r="H992" s="7"/>
      <c r="I992" s="7"/>
      <c r="J992" s="7"/>
      <c r="K992" s="7"/>
    </row>
    <row r="993">
      <c r="A993" s="7"/>
      <c r="B993" s="7"/>
      <c r="C993" s="7"/>
      <c r="D993" s="7"/>
      <c r="E993" s="7"/>
      <c r="F993" s="7"/>
      <c r="G993" s="7"/>
      <c r="H993" s="7"/>
      <c r="I993" s="7"/>
      <c r="J993" s="7"/>
      <c r="K993" s="7"/>
    </row>
    <row r="994">
      <c r="A994" s="7"/>
      <c r="B994" s="7"/>
      <c r="C994" s="7"/>
      <c r="D994" s="7"/>
      <c r="E994" s="7"/>
      <c r="F994" s="7"/>
      <c r="G994" s="7"/>
      <c r="H994" s="7"/>
      <c r="I994" s="7"/>
      <c r="J994" s="7"/>
      <c r="K994" s="7"/>
    </row>
    <row r="995">
      <c r="A995" s="7"/>
      <c r="B995" s="7"/>
      <c r="C995" s="7"/>
      <c r="D995" s="7"/>
      <c r="E995" s="7"/>
      <c r="F995" s="7"/>
      <c r="G995" s="7"/>
      <c r="H995" s="7"/>
      <c r="I995" s="7"/>
      <c r="J995" s="7"/>
      <c r="K995" s="7"/>
    </row>
    <row r="996">
      <c r="A996" s="7"/>
      <c r="B996" s="7"/>
      <c r="C996" s="7"/>
      <c r="D996" s="7"/>
      <c r="E996" s="7"/>
      <c r="F996" s="7"/>
      <c r="G996" s="7"/>
      <c r="H996" s="7"/>
      <c r="I996" s="7"/>
      <c r="J996" s="7"/>
      <c r="K996" s="7"/>
    </row>
    <row r="997">
      <c r="A997" s="7"/>
      <c r="B997" s="7"/>
      <c r="C997" s="7"/>
      <c r="D997" s="7"/>
      <c r="E997" s="7"/>
      <c r="F997" s="7"/>
      <c r="G997" s="7"/>
      <c r="H997" s="7"/>
      <c r="I997" s="7"/>
      <c r="J997" s="7"/>
      <c r="K997" s="7"/>
    </row>
    <row r="998">
      <c r="A998" s="7"/>
      <c r="B998" s="7"/>
      <c r="C998" s="7"/>
      <c r="D998" s="7"/>
      <c r="E998" s="7"/>
      <c r="F998" s="7"/>
      <c r="G998" s="7"/>
      <c r="H998" s="7"/>
      <c r="I998" s="7"/>
      <c r="J998" s="7"/>
      <c r="K998" s="7"/>
    </row>
    <row r="999">
      <c r="A999" s="7"/>
      <c r="B999" s="7"/>
      <c r="C999" s="7"/>
      <c r="D999" s="7"/>
      <c r="E999" s="7"/>
      <c r="F999" s="7"/>
      <c r="G999" s="7"/>
      <c r="H999" s="7"/>
      <c r="I999" s="7"/>
      <c r="J999" s="7"/>
      <c r="K999" s="7"/>
    </row>
    <row r="1000">
      <c r="A1000" s="7"/>
      <c r="B1000" s="7"/>
      <c r="C1000" s="7"/>
      <c r="D1000" s="7"/>
      <c r="E1000" s="7"/>
      <c r="F1000" s="7"/>
      <c r="G1000" s="7"/>
      <c r="H1000" s="7"/>
      <c r="I1000" s="7"/>
      <c r="J1000" s="7"/>
      <c r="K1000" s="7"/>
    </row>
  </sheetData>
  <mergeCells count="2">
    <mergeCell ref="C2:H3"/>
    <mergeCell ref="N11:S12"/>
  </mergeCells>
  <drawing r:id="rId1"/>
  <extLst>
    <ext uri="{3A4CF648-6AED-40f4-86FF-DC5316D8AED3}">
      <x14:slicerList>
        <x14:slicer r:id="rId2"/>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2" max="2" width="24.11"/>
  </cols>
  <sheetData>
    <row r="1">
      <c r="A1" s="7"/>
      <c r="B1" s="8"/>
      <c r="C1" s="9"/>
      <c r="D1" s="9"/>
      <c r="E1" s="9"/>
      <c r="F1" s="9"/>
      <c r="G1" s="10"/>
      <c r="H1" s="10"/>
      <c r="I1" s="11"/>
      <c r="J1" s="11"/>
      <c r="K1" s="11"/>
    </row>
    <row r="2">
      <c r="A2" s="7"/>
      <c r="B2" s="8"/>
      <c r="C2" s="12" t="s">
        <v>36</v>
      </c>
      <c r="I2" s="11"/>
      <c r="J2" s="11"/>
      <c r="K2" s="11"/>
    </row>
    <row r="3">
      <c r="A3" s="7"/>
      <c r="B3" s="8"/>
      <c r="I3" s="11"/>
      <c r="J3" s="11"/>
      <c r="K3" s="11"/>
    </row>
    <row r="4">
      <c r="A4" s="7"/>
      <c r="B4" s="11"/>
      <c r="C4" s="11"/>
      <c r="D4" s="11"/>
      <c r="E4" s="11"/>
      <c r="F4" s="11"/>
      <c r="G4" s="11"/>
      <c r="H4" s="11"/>
      <c r="I4" s="11"/>
      <c r="J4" s="11"/>
      <c r="K4" s="11"/>
    </row>
    <row r="5">
      <c r="A5" s="7"/>
      <c r="B5" s="7"/>
      <c r="C5" s="7"/>
      <c r="D5" s="7"/>
      <c r="E5" s="7"/>
      <c r="F5" s="7"/>
      <c r="G5" s="7"/>
      <c r="H5" s="7"/>
      <c r="I5" s="7"/>
      <c r="J5" s="7"/>
      <c r="K5" s="7"/>
    </row>
    <row r="6">
      <c r="A6" s="7"/>
      <c r="B6" s="7"/>
      <c r="C6" s="7"/>
      <c r="D6" s="7"/>
      <c r="E6" s="7"/>
      <c r="F6" s="7"/>
      <c r="G6" s="7"/>
      <c r="H6" s="7"/>
      <c r="I6" s="7"/>
      <c r="J6" s="7"/>
      <c r="K6" s="7"/>
    </row>
    <row r="7">
      <c r="A7" s="7"/>
      <c r="B7" s="7"/>
      <c r="C7" s="7"/>
      <c r="D7" s="7"/>
      <c r="E7" s="7"/>
      <c r="F7" s="7"/>
      <c r="G7" s="7"/>
      <c r="H7" s="7"/>
      <c r="I7" s="7"/>
      <c r="J7" s="7"/>
      <c r="K7" s="7"/>
    </row>
    <row r="8">
      <c r="A8" s="7"/>
      <c r="B8" s="7"/>
      <c r="C8" s="7"/>
      <c r="D8" s="7"/>
      <c r="E8" s="7"/>
      <c r="F8" s="7"/>
      <c r="G8" s="7"/>
      <c r="H8" s="7"/>
      <c r="I8" s="7"/>
      <c r="J8" s="7"/>
      <c r="K8" s="7"/>
    </row>
    <row r="9">
      <c r="A9" s="7"/>
      <c r="B9" s="7"/>
      <c r="C9" s="7"/>
      <c r="D9" s="7"/>
      <c r="E9" s="7"/>
      <c r="F9" s="7"/>
      <c r="G9" s="7"/>
      <c r="H9" s="7"/>
      <c r="I9" s="7"/>
      <c r="J9" s="7"/>
      <c r="K9" s="7"/>
      <c r="M9" s="7"/>
    </row>
    <row r="10">
      <c r="A10" s="7"/>
      <c r="B10" s="7"/>
      <c r="C10" s="7"/>
      <c r="D10" s="7"/>
      <c r="E10" s="7"/>
      <c r="F10" s="7"/>
      <c r="G10" s="7"/>
      <c r="H10" s="7"/>
      <c r="I10" s="7"/>
      <c r="J10" s="7"/>
      <c r="K10" s="7"/>
    </row>
    <row r="11">
      <c r="A11" s="7"/>
      <c r="B11" s="7"/>
      <c r="C11" s="7"/>
      <c r="D11" s="7"/>
      <c r="E11" s="7"/>
      <c r="F11" s="7"/>
      <c r="G11" s="7"/>
      <c r="H11" s="7"/>
      <c r="I11" s="7"/>
      <c r="J11" s="7"/>
      <c r="K11" s="7"/>
      <c r="N11" s="13"/>
    </row>
    <row r="12">
      <c r="A12" s="7"/>
      <c r="B12" s="7"/>
      <c r="C12" s="7"/>
      <c r="D12" s="7"/>
      <c r="E12" s="7"/>
      <c r="F12" s="7"/>
      <c r="G12" s="7"/>
      <c r="H12" s="7"/>
      <c r="I12" s="7"/>
      <c r="J12" s="7"/>
      <c r="K12" s="7"/>
      <c r="M12" s="7"/>
    </row>
    <row r="13">
      <c r="A13" s="7"/>
      <c r="B13" s="7"/>
      <c r="C13" s="7"/>
      <c r="D13" s="7"/>
      <c r="E13" s="7"/>
      <c r="F13" s="7"/>
      <c r="G13" s="7"/>
      <c r="H13" s="7"/>
      <c r="I13" s="7"/>
      <c r="J13" s="7"/>
      <c r="K13" s="7"/>
    </row>
    <row r="14">
      <c r="A14" s="7"/>
      <c r="B14" s="7"/>
      <c r="C14" s="7"/>
      <c r="D14" s="7"/>
      <c r="E14" s="7"/>
      <c r="F14" s="7"/>
      <c r="G14" s="7"/>
      <c r="H14" s="7"/>
      <c r="I14" s="7"/>
      <c r="J14" s="7"/>
      <c r="K14" s="7"/>
    </row>
    <row r="15">
      <c r="A15" s="7"/>
      <c r="B15" s="7"/>
      <c r="C15" s="7"/>
      <c r="D15" s="7"/>
      <c r="E15" s="7"/>
      <c r="F15" s="7"/>
      <c r="G15" s="7"/>
      <c r="H15" s="7"/>
      <c r="I15" s="7"/>
      <c r="J15" s="7"/>
      <c r="K15" s="7"/>
    </row>
    <row r="16">
      <c r="A16" s="7"/>
      <c r="B16" s="7"/>
      <c r="C16" s="7"/>
      <c r="D16" s="7"/>
      <c r="E16" s="7"/>
      <c r="F16" s="7"/>
      <c r="G16" s="7"/>
      <c r="H16" s="7"/>
      <c r="I16" s="7"/>
      <c r="J16" s="7"/>
      <c r="K16" s="7"/>
    </row>
    <row r="17">
      <c r="A17" s="7"/>
      <c r="B17" s="7"/>
      <c r="C17" s="7"/>
      <c r="D17" s="7"/>
      <c r="E17" s="7"/>
      <c r="F17" s="7"/>
      <c r="G17" s="7"/>
      <c r="H17" s="7"/>
      <c r="I17" s="7"/>
      <c r="J17" s="7"/>
      <c r="K17" s="7"/>
    </row>
    <row r="18">
      <c r="A18" s="7"/>
      <c r="B18" s="7"/>
      <c r="C18" s="7"/>
      <c r="D18" s="7"/>
      <c r="E18" s="7"/>
      <c r="F18" s="7"/>
      <c r="G18" s="7"/>
      <c r="H18" s="7"/>
      <c r="I18" s="7"/>
      <c r="J18" s="7"/>
      <c r="K18" s="7"/>
    </row>
    <row r="19">
      <c r="A19" s="7"/>
      <c r="B19" s="7"/>
      <c r="C19" s="7"/>
      <c r="D19" s="7"/>
      <c r="E19" s="7"/>
      <c r="F19" s="7"/>
      <c r="G19" s="7"/>
      <c r="H19" s="7"/>
      <c r="I19" s="7"/>
      <c r="J19" s="7"/>
      <c r="K19" s="7"/>
    </row>
    <row r="20">
      <c r="A20" s="7"/>
      <c r="B20" s="7"/>
      <c r="C20" s="7"/>
      <c r="D20" s="7"/>
      <c r="E20" s="7"/>
      <c r="F20" s="7"/>
      <c r="G20" s="7"/>
      <c r="H20" s="7"/>
      <c r="I20" s="7"/>
      <c r="J20" s="7"/>
      <c r="K20" s="7"/>
    </row>
    <row r="21">
      <c r="A21" s="7"/>
      <c r="B21" s="7"/>
      <c r="C21" s="7"/>
      <c r="D21" s="7"/>
      <c r="E21" s="7"/>
      <c r="F21" s="7"/>
      <c r="G21" s="7"/>
      <c r="H21" s="7"/>
      <c r="I21" s="7"/>
      <c r="J21" s="7"/>
      <c r="K21" s="7"/>
    </row>
    <row r="22">
      <c r="A22" s="7"/>
      <c r="B22" s="7"/>
      <c r="C22" s="7"/>
      <c r="D22" s="7"/>
      <c r="E22" s="7"/>
      <c r="F22" s="7"/>
      <c r="G22" s="7"/>
      <c r="H22" s="7"/>
      <c r="I22" s="7"/>
      <c r="J22" s="7"/>
      <c r="K22" s="7"/>
    </row>
    <row r="23">
      <c r="A23" s="7"/>
      <c r="B23" s="7"/>
      <c r="C23" s="7"/>
      <c r="D23" s="7"/>
      <c r="E23" s="7"/>
      <c r="F23" s="7"/>
      <c r="G23" s="7"/>
      <c r="H23" s="7"/>
      <c r="I23" s="7"/>
      <c r="J23" s="7"/>
      <c r="K23" s="7"/>
    </row>
    <row r="24">
      <c r="A24" s="7"/>
      <c r="B24" s="7"/>
      <c r="C24" s="7"/>
      <c r="D24" s="7"/>
      <c r="E24" s="7"/>
      <c r="F24" s="7"/>
      <c r="G24" s="7"/>
      <c r="H24" s="7"/>
      <c r="I24" s="7"/>
      <c r="J24" s="7"/>
      <c r="K24" s="7"/>
    </row>
    <row r="25">
      <c r="A25" s="7"/>
      <c r="B25" s="7"/>
      <c r="C25" s="7"/>
      <c r="D25" s="7"/>
      <c r="E25" s="7"/>
      <c r="F25" s="7"/>
      <c r="G25" s="7"/>
      <c r="H25" s="7"/>
      <c r="I25" s="7"/>
      <c r="J25" s="7"/>
      <c r="K25" s="7"/>
    </row>
    <row r="26">
      <c r="A26" s="7"/>
      <c r="B26" s="7"/>
      <c r="C26" s="7"/>
      <c r="D26" s="7"/>
      <c r="E26" s="7"/>
      <c r="F26" s="7"/>
      <c r="G26" s="7"/>
      <c r="H26" s="7"/>
      <c r="I26" s="7"/>
      <c r="J26" s="7"/>
      <c r="K26" s="7"/>
    </row>
    <row r="27">
      <c r="A27" s="7"/>
      <c r="B27" s="7"/>
      <c r="C27" s="7"/>
      <c r="D27" s="7"/>
      <c r="E27" s="7"/>
      <c r="F27" s="7"/>
      <c r="G27" s="7"/>
      <c r="H27" s="7"/>
      <c r="I27" s="7"/>
      <c r="J27" s="7"/>
      <c r="K27" s="7"/>
    </row>
    <row r="28">
      <c r="A28" s="7"/>
      <c r="B28" s="7"/>
      <c r="C28" s="7"/>
      <c r="D28" s="7"/>
      <c r="E28" s="7"/>
      <c r="F28" s="7"/>
      <c r="G28" s="7"/>
      <c r="H28" s="7"/>
      <c r="I28" s="7"/>
      <c r="J28" s="7"/>
      <c r="K28" s="7"/>
    </row>
    <row r="29">
      <c r="A29" s="7"/>
      <c r="B29" s="7"/>
      <c r="C29" s="7"/>
      <c r="D29" s="7"/>
      <c r="E29" s="7"/>
      <c r="F29" s="7"/>
      <c r="G29" s="7"/>
      <c r="H29" s="7"/>
      <c r="I29" s="7"/>
      <c r="J29" s="7"/>
      <c r="K29" s="7"/>
    </row>
    <row r="30">
      <c r="A30" s="7"/>
      <c r="B30" s="7"/>
      <c r="C30" s="7"/>
      <c r="D30" s="7"/>
      <c r="E30" s="7"/>
      <c r="F30" s="7"/>
      <c r="G30" s="7"/>
      <c r="H30" s="7"/>
      <c r="I30" s="7"/>
      <c r="J30" s="7"/>
      <c r="K30" s="7"/>
    </row>
    <row r="31">
      <c r="A31" s="7"/>
      <c r="B31" s="7"/>
      <c r="C31" s="7"/>
      <c r="D31" s="7"/>
      <c r="E31" s="7"/>
      <c r="F31" s="7"/>
      <c r="G31" s="7"/>
      <c r="H31" s="7"/>
      <c r="I31" s="7"/>
      <c r="J31" s="7"/>
      <c r="K31" s="7"/>
    </row>
    <row r="32">
      <c r="A32" s="7"/>
      <c r="B32" s="7"/>
      <c r="C32" s="7"/>
      <c r="D32" s="7"/>
      <c r="E32" s="7"/>
      <c r="F32" s="7"/>
      <c r="G32" s="7"/>
      <c r="H32" s="7"/>
      <c r="I32" s="7"/>
      <c r="J32" s="7"/>
      <c r="K32" s="7"/>
    </row>
    <row r="33">
      <c r="A33" s="7"/>
      <c r="B33" s="7"/>
      <c r="C33" s="7"/>
      <c r="D33" s="7"/>
      <c r="E33" s="7"/>
      <c r="F33" s="7"/>
      <c r="G33" s="7"/>
      <c r="H33" s="7"/>
      <c r="I33" s="7"/>
      <c r="J33" s="7"/>
      <c r="K33" s="7"/>
    </row>
    <row r="34">
      <c r="A34" s="7"/>
      <c r="B34" s="7"/>
      <c r="C34" s="7"/>
      <c r="D34" s="7"/>
      <c r="E34" s="7"/>
      <c r="F34" s="7"/>
      <c r="G34" s="7"/>
      <c r="H34" s="7"/>
      <c r="I34" s="7"/>
      <c r="J34" s="7"/>
      <c r="K34" s="7"/>
    </row>
    <row r="35">
      <c r="A35" s="7"/>
      <c r="B35" s="7"/>
      <c r="C35" s="7"/>
      <c r="D35" s="7"/>
      <c r="E35" s="7"/>
      <c r="F35" s="7"/>
      <c r="G35" s="7"/>
      <c r="H35" s="7"/>
      <c r="I35" s="7"/>
      <c r="J35" s="7"/>
      <c r="K35" s="7"/>
    </row>
    <row r="36">
      <c r="A36" s="7"/>
      <c r="B36" s="7"/>
      <c r="C36" s="7"/>
      <c r="D36" s="7"/>
      <c r="E36" s="7"/>
      <c r="F36" s="7"/>
      <c r="G36" s="7"/>
      <c r="H36" s="7"/>
      <c r="I36" s="7"/>
      <c r="J36" s="7"/>
      <c r="K36" s="7"/>
    </row>
    <row r="37">
      <c r="A37" s="7"/>
      <c r="B37" s="7"/>
      <c r="C37" s="7"/>
      <c r="D37" s="7"/>
      <c r="E37" s="7"/>
      <c r="F37" s="7"/>
      <c r="G37" s="7"/>
      <c r="H37" s="7"/>
      <c r="I37" s="7"/>
      <c r="J37" s="7"/>
      <c r="K37" s="7"/>
    </row>
    <row r="38">
      <c r="A38" s="7"/>
      <c r="B38" s="7"/>
      <c r="C38" s="7"/>
      <c r="D38" s="7"/>
      <c r="E38" s="7"/>
      <c r="F38" s="7"/>
      <c r="G38" s="7"/>
      <c r="H38" s="7"/>
      <c r="I38" s="7"/>
      <c r="J38" s="7"/>
      <c r="K38" s="7"/>
    </row>
    <row r="39">
      <c r="A39" s="7"/>
      <c r="B39" s="7"/>
      <c r="C39" s="7"/>
      <c r="D39" s="7"/>
      <c r="E39" s="7"/>
      <c r="F39" s="7"/>
      <c r="G39" s="7"/>
      <c r="H39" s="7"/>
      <c r="I39" s="7"/>
      <c r="J39" s="7"/>
      <c r="K39" s="7"/>
    </row>
    <row r="40">
      <c r="A40" s="7"/>
      <c r="B40" s="7"/>
      <c r="C40" s="7"/>
      <c r="D40" s="7"/>
      <c r="E40" s="7"/>
      <c r="F40" s="7"/>
      <c r="G40" s="7"/>
      <c r="H40" s="7"/>
      <c r="I40" s="7"/>
      <c r="J40" s="7"/>
      <c r="K40" s="7"/>
    </row>
    <row r="41">
      <c r="A41" s="7"/>
      <c r="B41" s="7"/>
      <c r="C41" s="7"/>
      <c r="D41" s="7"/>
      <c r="E41" s="7"/>
      <c r="F41" s="7"/>
      <c r="G41" s="7"/>
      <c r="H41" s="7"/>
      <c r="I41" s="7"/>
      <c r="J41" s="7"/>
      <c r="K41" s="7"/>
    </row>
    <row r="42">
      <c r="A42" s="7"/>
      <c r="B42" s="7"/>
      <c r="C42" s="7"/>
      <c r="D42" s="7"/>
      <c r="E42" s="7"/>
      <c r="F42" s="7"/>
      <c r="G42" s="7"/>
      <c r="H42" s="7"/>
      <c r="I42" s="7"/>
      <c r="J42" s="7"/>
      <c r="K42" s="7"/>
    </row>
    <row r="43">
      <c r="A43" s="7"/>
      <c r="B43" s="7"/>
      <c r="C43" s="7"/>
      <c r="D43" s="7"/>
      <c r="E43" s="7"/>
      <c r="F43" s="7"/>
      <c r="G43" s="7"/>
      <c r="H43" s="7"/>
      <c r="I43" s="7"/>
      <c r="J43" s="7"/>
      <c r="K43" s="7"/>
    </row>
    <row r="44">
      <c r="A44" s="7"/>
      <c r="B44" s="7"/>
      <c r="C44" s="7"/>
      <c r="D44" s="7"/>
      <c r="E44" s="7"/>
      <c r="F44" s="7"/>
      <c r="G44" s="7"/>
      <c r="H44" s="7"/>
      <c r="I44" s="7"/>
      <c r="J44" s="7"/>
      <c r="K44" s="7"/>
    </row>
    <row r="45">
      <c r="A45" s="7"/>
      <c r="B45" s="7"/>
      <c r="C45" s="7"/>
      <c r="D45" s="7"/>
      <c r="E45" s="7"/>
      <c r="F45" s="7"/>
      <c r="G45" s="7"/>
      <c r="H45" s="7"/>
      <c r="I45" s="7"/>
      <c r="J45" s="7"/>
      <c r="K45" s="7"/>
    </row>
    <row r="46">
      <c r="A46" s="7"/>
      <c r="B46" s="7"/>
      <c r="C46" s="7"/>
      <c r="D46" s="7"/>
      <c r="E46" s="7"/>
      <c r="F46" s="7"/>
      <c r="G46" s="7"/>
      <c r="H46" s="7"/>
      <c r="I46" s="7"/>
      <c r="J46" s="7"/>
      <c r="K46" s="7"/>
    </row>
    <row r="47">
      <c r="A47" s="7"/>
      <c r="B47" s="7"/>
      <c r="C47" s="7"/>
      <c r="D47" s="7"/>
      <c r="E47" s="7"/>
      <c r="F47" s="7"/>
      <c r="G47" s="7"/>
      <c r="H47" s="7"/>
      <c r="I47" s="7"/>
      <c r="J47" s="7"/>
      <c r="K47" s="7"/>
    </row>
    <row r="48">
      <c r="A48" s="7"/>
      <c r="B48" s="7"/>
      <c r="C48" s="7"/>
      <c r="D48" s="7"/>
      <c r="E48" s="7"/>
      <c r="F48" s="7"/>
      <c r="G48" s="7"/>
      <c r="H48" s="7"/>
      <c r="I48" s="7"/>
      <c r="J48" s="7"/>
      <c r="K48" s="7"/>
    </row>
    <row r="49">
      <c r="A49" s="7"/>
      <c r="B49" s="7"/>
      <c r="C49" s="7"/>
      <c r="D49" s="7"/>
      <c r="E49" s="7"/>
      <c r="F49" s="7"/>
      <c r="G49" s="7"/>
      <c r="H49" s="7"/>
      <c r="I49" s="7"/>
      <c r="J49" s="7"/>
      <c r="K49" s="7"/>
    </row>
    <row r="50">
      <c r="A50" s="7"/>
      <c r="B50" s="7"/>
      <c r="C50" s="7"/>
      <c r="D50" s="7"/>
      <c r="E50" s="7"/>
      <c r="F50" s="7"/>
      <c r="G50" s="7"/>
      <c r="H50" s="7"/>
      <c r="I50" s="7"/>
      <c r="J50" s="7"/>
      <c r="K50" s="7"/>
    </row>
    <row r="51">
      <c r="A51" s="7"/>
      <c r="B51" s="7"/>
      <c r="C51" s="7"/>
      <c r="D51" s="7"/>
      <c r="E51" s="7"/>
      <c r="F51" s="7"/>
      <c r="G51" s="7"/>
      <c r="H51" s="7"/>
      <c r="I51" s="7"/>
      <c r="J51" s="7"/>
      <c r="K51" s="7"/>
    </row>
    <row r="52">
      <c r="A52" s="7"/>
      <c r="B52" s="7"/>
      <c r="C52" s="7"/>
      <c r="D52" s="7"/>
      <c r="E52" s="7"/>
      <c r="F52" s="7"/>
      <c r="G52" s="7"/>
      <c r="H52" s="7"/>
      <c r="I52" s="7"/>
      <c r="J52" s="7"/>
      <c r="K52" s="7"/>
    </row>
    <row r="53">
      <c r="A53" s="7"/>
      <c r="B53" s="7"/>
      <c r="C53" s="7"/>
      <c r="D53" s="7"/>
      <c r="E53" s="7"/>
      <c r="F53" s="7"/>
      <c r="G53" s="7"/>
      <c r="H53" s="7"/>
      <c r="I53" s="7"/>
      <c r="J53" s="7"/>
      <c r="K53" s="7"/>
    </row>
    <row r="54">
      <c r="A54" s="7"/>
      <c r="B54" s="7"/>
      <c r="C54" s="7"/>
      <c r="D54" s="7"/>
      <c r="E54" s="7"/>
      <c r="F54" s="7"/>
      <c r="G54" s="7"/>
      <c r="H54" s="7"/>
      <c r="I54" s="7"/>
      <c r="J54" s="7"/>
      <c r="K54" s="7"/>
    </row>
    <row r="55">
      <c r="A55" s="7"/>
      <c r="B55" s="7"/>
      <c r="C55" s="7"/>
      <c r="D55" s="7"/>
      <c r="E55" s="7"/>
      <c r="F55" s="7"/>
      <c r="G55" s="7"/>
      <c r="H55" s="7"/>
      <c r="I55" s="7"/>
      <c r="J55" s="7"/>
      <c r="K55" s="7"/>
    </row>
    <row r="56">
      <c r="A56" s="7"/>
      <c r="B56" s="7"/>
      <c r="C56" s="7"/>
      <c r="D56" s="7"/>
      <c r="E56" s="7"/>
      <c r="F56" s="7"/>
      <c r="G56" s="7"/>
      <c r="H56" s="7"/>
      <c r="I56" s="7"/>
      <c r="J56" s="7"/>
      <c r="K56" s="7"/>
    </row>
    <row r="57">
      <c r="A57" s="7"/>
      <c r="B57" s="7"/>
      <c r="C57" s="7"/>
      <c r="D57" s="7"/>
      <c r="E57" s="7"/>
      <c r="F57" s="7"/>
      <c r="G57" s="7"/>
      <c r="H57" s="7"/>
      <c r="I57" s="7"/>
      <c r="J57" s="7"/>
      <c r="K57" s="7"/>
    </row>
    <row r="58">
      <c r="A58" s="7"/>
      <c r="B58" s="7"/>
      <c r="C58" s="7"/>
      <c r="D58" s="7"/>
      <c r="E58" s="7"/>
      <c r="F58" s="7"/>
      <c r="G58" s="7"/>
      <c r="H58" s="7"/>
      <c r="I58" s="7"/>
      <c r="J58" s="7"/>
      <c r="K58" s="7"/>
    </row>
    <row r="59">
      <c r="A59" s="7"/>
      <c r="B59" s="7"/>
      <c r="C59" s="7"/>
      <c r="D59" s="7"/>
      <c r="E59" s="7"/>
      <c r="F59" s="7"/>
      <c r="G59" s="7"/>
      <c r="H59" s="7"/>
      <c r="I59" s="7"/>
      <c r="J59" s="7"/>
      <c r="K59" s="7"/>
    </row>
    <row r="60">
      <c r="A60" s="7"/>
      <c r="B60" s="7"/>
      <c r="C60" s="7"/>
      <c r="D60" s="7"/>
      <c r="E60" s="7"/>
      <c r="F60" s="7"/>
      <c r="G60" s="7"/>
      <c r="H60" s="7"/>
      <c r="I60" s="7"/>
      <c r="J60" s="7"/>
      <c r="K60" s="7"/>
    </row>
    <row r="61">
      <c r="A61" s="7"/>
      <c r="B61" s="7"/>
      <c r="C61" s="7"/>
      <c r="D61" s="7"/>
      <c r="E61" s="7"/>
      <c r="F61" s="7"/>
      <c r="G61" s="7"/>
      <c r="H61" s="7"/>
      <c r="I61" s="7"/>
      <c r="J61" s="7"/>
      <c r="K61" s="7"/>
    </row>
    <row r="62">
      <c r="A62" s="7"/>
      <c r="B62" s="7"/>
      <c r="C62" s="7"/>
      <c r="D62" s="7"/>
      <c r="E62" s="7"/>
      <c r="F62" s="7"/>
      <c r="G62" s="7"/>
      <c r="H62" s="7"/>
      <c r="I62" s="7"/>
      <c r="J62" s="7"/>
      <c r="K62" s="7"/>
    </row>
    <row r="63">
      <c r="A63" s="7"/>
      <c r="B63" s="7"/>
      <c r="C63" s="7"/>
      <c r="D63" s="7"/>
      <c r="E63" s="7"/>
      <c r="F63" s="7"/>
      <c r="G63" s="7"/>
      <c r="H63" s="7"/>
      <c r="I63" s="7"/>
      <c r="J63" s="7"/>
      <c r="K63" s="7"/>
    </row>
    <row r="64">
      <c r="A64" s="7"/>
      <c r="B64" s="7"/>
      <c r="C64" s="7"/>
      <c r="D64" s="7"/>
      <c r="E64" s="7"/>
      <c r="F64" s="7"/>
      <c r="G64" s="7"/>
      <c r="H64" s="7"/>
      <c r="I64" s="7"/>
      <c r="J64" s="7"/>
      <c r="K64" s="7"/>
    </row>
    <row r="65">
      <c r="A65" s="7"/>
      <c r="B65" s="7"/>
      <c r="C65" s="7"/>
      <c r="D65" s="7"/>
      <c r="E65" s="7"/>
      <c r="F65" s="7"/>
      <c r="G65" s="7"/>
      <c r="H65" s="7"/>
      <c r="I65" s="7"/>
      <c r="J65" s="7"/>
      <c r="K65" s="7"/>
    </row>
    <row r="66">
      <c r="A66" s="7"/>
      <c r="B66" s="7"/>
      <c r="C66" s="7"/>
      <c r="D66" s="7"/>
      <c r="E66" s="7"/>
      <c r="F66" s="7"/>
      <c r="G66" s="7"/>
      <c r="H66" s="7"/>
      <c r="I66" s="7"/>
      <c r="J66" s="7"/>
      <c r="K66" s="7"/>
    </row>
    <row r="67">
      <c r="A67" s="7"/>
      <c r="B67" s="7"/>
      <c r="C67" s="7"/>
      <c r="D67" s="7"/>
      <c r="E67" s="7"/>
      <c r="F67" s="7"/>
      <c r="G67" s="7"/>
      <c r="H67" s="7"/>
      <c r="I67" s="7"/>
      <c r="J67" s="7"/>
      <c r="K67" s="7"/>
    </row>
    <row r="68">
      <c r="A68" s="7"/>
      <c r="B68" s="7"/>
      <c r="C68" s="7"/>
      <c r="D68" s="7"/>
      <c r="E68" s="7"/>
      <c r="F68" s="7"/>
      <c r="G68" s="7"/>
      <c r="H68" s="7"/>
      <c r="I68" s="7"/>
      <c r="J68" s="7"/>
      <c r="K68" s="7"/>
    </row>
    <row r="69">
      <c r="A69" s="7"/>
      <c r="B69" s="7"/>
      <c r="C69" s="7"/>
      <c r="D69" s="7"/>
      <c r="E69" s="7"/>
      <c r="F69" s="7"/>
      <c r="G69" s="7"/>
      <c r="H69" s="7"/>
      <c r="I69" s="7"/>
      <c r="J69" s="7"/>
      <c r="K69" s="7"/>
    </row>
    <row r="70">
      <c r="A70" s="7"/>
      <c r="B70" s="7"/>
      <c r="C70" s="7"/>
      <c r="D70" s="7"/>
      <c r="E70" s="7"/>
      <c r="F70" s="7"/>
      <c r="G70" s="7"/>
      <c r="H70" s="7"/>
      <c r="I70" s="7"/>
      <c r="J70" s="7"/>
      <c r="K70" s="7"/>
    </row>
    <row r="71">
      <c r="A71" s="7"/>
      <c r="B71" s="7"/>
      <c r="C71" s="7"/>
      <c r="D71" s="7"/>
      <c r="E71" s="7"/>
      <c r="F71" s="7"/>
      <c r="G71" s="7"/>
      <c r="H71" s="7"/>
      <c r="I71" s="7"/>
      <c r="J71" s="7"/>
      <c r="K71" s="7"/>
    </row>
    <row r="72">
      <c r="A72" s="7"/>
      <c r="B72" s="7"/>
      <c r="C72" s="7"/>
      <c r="D72" s="7"/>
      <c r="E72" s="7"/>
      <c r="F72" s="7"/>
      <c r="G72" s="7"/>
      <c r="H72" s="7"/>
      <c r="I72" s="7"/>
      <c r="J72" s="7"/>
      <c r="K72" s="7"/>
    </row>
    <row r="73">
      <c r="A73" s="7"/>
      <c r="B73" s="7"/>
      <c r="C73" s="7"/>
      <c r="D73" s="7"/>
      <c r="E73" s="7"/>
      <c r="F73" s="7"/>
      <c r="G73" s="7"/>
      <c r="H73" s="7"/>
      <c r="I73" s="7"/>
      <c r="J73" s="7"/>
      <c r="K73" s="7"/>
    </row>
    <row r="74">
      <c r="A74" s="7"/>
      <c r="B74" s="7"/>
      <c r="C74" s="7"/>
      <c r="D74" s="7"/>
      <c r="E74" s="7"/>
      <c r="F74" s="7"/>
      <c r="G74" s="7"/>
      <c r="H74" s="7"/>
      <c r="I74" s="7"/>
      <c r="J74" s="7"/>
      <c r="K74" s="7"/>
    </row>
    <row r="75">
      <c r="A75" s="7"/>
      <c r="B75" s="7"/>
      <c r="C75" s="7"/>
      <c r="D75" s="7"/>
      <c r="E75" s="7"/>
      <c r="F75" s="7"/>
      <c r="G75" s="7"/>
      <c r="H75" s="7"/>
      <c r="I75" s="7"/>
      <c r="J75" s="7"/>
      <c r="K75" s="7"/>
    </row>
    <row r="76">
      <c r="A76" s="7"/>
      <c r="B76" s="7"/>
      <c r="C76" s="7"/>
      <c r="D76" s="7"/>
      <c r="E76" s="7"/>
      <c r="F76" s="7"/>
      <c r="G76" s="7"/>
      <c r="H76" s="7"/>
      <c r="I76" s="7"/>
      <c r="J76" s="7"/>
      <c r="K76" s="7"/>
    </row>
    <row r="77">
      <c r="A77" s="7"/>
      <c r="B77" s="7"/>
      <c r="C77" s="7"/>
      <c r="D77" s="7"/>
      <c r="E77" s="7"/>
      <c r="F77" s="7"/>
      <c r="G77" s="7"/>
      <c r="H77" s="7"/>
      <c r="I77" s="7"/>
      <c r="J77" s="7"/>
      <c r="K77" s="7"/>
    </row>
    <row r="78">
      <c r="A78" s="7"/>
      <c r="B78" s="7"/>
      <c r="C78" s="7"/>
      <c r="D78" s="7"/>
      <c r="E78" s="7"/>
      <c r="F78" s="7"/>
      <c r="G78" s="7"/>
      <c r="H78" s="7"/>
      <c r="I78" s="7"/>
      <c r="J78" s="7"/>
      <c r="K78" s="7"/>
    </row>
    <row r="79">
      <c r="A79" s="7"/>
      <c r="B79" s="7"/>
      <c r="C79" s="7"/>
      <c r="D79" s="7"/>
      <c r="E79" s="7"/>
      <c r="F79" s="7"/>
      <c r="G79" s="7"/>
      <c r="H79" s="7"/>
      <c r="I79" s="7"/>
      <c r="J79" s="7"/>
      <c r="K79" s="7"/>
    </row>
    <row r="80">
      <c r="A80" s="7"/>
      <c r="B80" s="7"/>
      <c r="C80" s="7"/>
      <c r="D80" s="7"/>
      <c r="E80" s="7"/>
      <c r="F80" s="7"/>
      <c r="G80" s="7"/>
      <c r="H80" s="7"/>
      <c r="I80" s="7"/>
      <c r="J80" s="7"/>
      <c r="K80" s="7"/>
    </row>
    <row r="81">
      <c r="A81" s="7"/>
      <c r="B81" s="7"/>
      <c r="C81" s="7"/>
      <c r="D81" s="7"/>
      <c r="E81" s="7"/>
      <c r="F81" s="7"/>
      <c r="G81" s="7"/>
      <c r="H81" s="7"/>
      <c r="I81" s="7"/>
      <c r="J81" s="7"/>
      <c r="K81" s="7"/>
    </row>
    <row r="82">
      <c r="A82" s="7"/>
      <c r="B82" s="7"/>
      <c r="C82" s="7"/>
      <c r="D82" s="7"/>
      <c r="E82" s="7"/>
      <c r="F82" s="7"/>
      <c r="G82" s="7"/>
      <c r="H82" s="7"/>
      <c r="I82" s="7"/>
      <c r="J82" s="7"/>
      <c r="K82" s="7"/>
    </row>
    <row r="83">
      <c r="A83" s="7"/>
      <c r="B83" s="7"/>
      <c r="C83" s="7"/>
      <c r="D83" s="7"/>
      <c r="E83" s="7"/>
      <c r="F83" s="7"/>
      <c r="G83" s="7"/>
      <c r="H83" s="7"/>
      <c r="I83" s="7"/>
      <c r="J83" s="7"/>
      <c r="K83" s="7"/>
    </row>
    <row r="84">
      <c r="A84" s="7"/>
      <c r="B84" s="7"/>
      <c r="C84" s="7"/>
      <c r="D84" s="7"/>
      <c r="E84" s="7"/>
      <c r="F84" s="7"/>
      <c r="G84" s="7"/>
      <c r="H84" s="7"/>
      <c r="I84" s="7"/>
      <c r="J84" s="7"/>
      <c r="K84" s="7"/>
    </row>
    <row r="85">
      <c r="A85" s="7"/>
      <c r="B85" s="7"/>
      <c r="C85" s="7"/>
      <c r="D85" s="7"/>
      <c r="E85" s="7"/>
      <c r="F85" s="7"/>
      <c r="G85" s="7"/>
      <c r="H85" s="7"/>
      <c r="I85" s="7"/>
      <c r="J85" s="7"/>
      <c r="K85" s="7"/>
    </row>
    <row r="86">
      <c r="A86" s="7"/>
      <c r="B86" s="7"/>
      <c r="C86" s="7"/>
      <c r="D86" s="7"/>
      <c r="E86" s="7"/>
      <c r="F86" s="7"/>
      <c r="G86" s="7"/>
      <c r="H86" s="7"/>
      <c r="I86" s="7"/>
      <c r="J86" s="7"/>
      <c r="K86" s="7"/>
    </row>
    <row r="87">
      <c r="A87" s="7"/>
      <c r="B87" s="7"/>
      <c r="C87" s="7"/>
      <c r="D87" s="7"/>
      <c r="E87" s="7"/>
      <c r="F87" s="7"/>
      <c r="G87" s="7"/>
      <c r="H87" s="7"/>
      <c r="I87" s="7"/>
      <c r="J87" s="7"/>
      <c r="K87" s="7"/>
    </row>
    <row r="88">
      <c r="A88" s="7"/>
      <c r="B88" s="7"/>
      <c r="C88" s="7"/>
      <c r="D88" s="7"/>
      <c r="E88" s="7"/>
      <c r="F88" s="7"/>
      <c r="G88" s="7"/>
      <c r="H88" s="7"/>
      <c r="I88" s="7"/>
      <c r="J88" s="7"/>
      <c r="K88" s="7"/>
    </row>
    <row r="89">
      <c r="A89" s="7"/>
      <c r="B89" s="7"/>
      <c r="C89" s="7"/>
      <c r="D89" s="7"/>
      <c r="E89" s="7"/>
      <c r="F89" s="7"/>
      <c r="G89" s="7"/>
      <c r="H89" s="7"/>
      <c r="I89" s="7"/>
      <c r="J89" s="7"/>
      <c r="K89" s="7"/>
    </row>
    <row r="90">
      <c r="A90" s="7"/>
      <c r="B90" s="7"/>
      <c r="C90" s="7"/>
      <c r="D90" s="7"/>
      <c r="E90" s="7"/>
      <c r="F90" s="7"/>
      <c r="G90" s="7"/>
      <c r="H90" s="7"/>
      <c r="I90" s="7"/>
      <c r="J90" s="7"/>
      <c r="K90" s="7"/>
    </row>
    <row r="91">
      <c r="A91" s="7"/>
      <c r="B91" s="7"/>
      <c r="C91" s="7"/>
      <c r="D91" s="7"/>
      <c r="E91" s="7"/>
      <c r="F91" s="7"/>
      <c r="G91" s="7"/>
      <c r="H91" s="7"/>
      <c r="I91" s="7"/>
      <c r="J91" s="7"/>
      <c r="K91" s="7"/>
    </row>
    <row r="92">
      <c r="A92" s="7"/>
      <c r="B92" s="7"/>
      <c r="C92" s="7"/>
      <c r="D92" s="7"/>
      <c r="E92" s="7"/>
      <c r="F92" s="7"/>
      <c r="G92" s="7"/>
      <c r="H92" s="7"/>
      <c r="I92" s="7"/>
      <c r="J92" s="7"/>
      <c r="K92" s="7"/>
    </row>
    <row r="93">
      <c r="A93" s="7"/>
      <c r="B93" s="7"/>
      <c r="C93" s="7"/>
      <c r="D93" s="7"/>
      <c r="E93" s="7"/>
      <c r="F93" s="7"/>
      <c r="G93" s="7"/>
      <c r="H93" s="7"/>
      <c r="I93" s="7"/>
      <c r="J93" s="7"/>
      <c r="K93" s="7"/>
    </row>
    <row r="94">
      <c r="A94" s="7"/>
      <c r="B94" s="7"/>
      <c r="C94" s="7"/>
      <c r="D94" s="7"/>
      <c r="E94" s="7"/>
      <c r="F94" s="7"/>
      <c r="G94" s="7"/>
      <c r="H94" s="7"/>
      <c r="I94" s="7"/>
      <c r="J94" s="7"/>
      <c r="K94" s="7"/>
    </row>
    <row r="95">
      <c r="A95" s="7"/>
      <c r="B95" s="7"/>
      <c r="C95" s="7"/>
      <c r="D95" s="7"/>
      <c r="E95" s="7"/>
      <c r="F95" s="7"/>
      <c r="G95" s="7"/>
      <c r="H95" s="7"/>
      <c r="I95" s="7"/>
      <c r="J95" s="7"/>
      <c r="K95" s="7"/>
    </row>
    <row r="96">
      <c r="A96" s="7"/>
      <c r="B96" s="7"/>
      <c r="C96" s="7"/>
      <c r="D96" s="7"/>
      <c r="E96" s="7"/>
      <c r="F96" s="7"/>
      <c r="G96" s="7"/>
      <c r="H96" s="7"/>
      <c r="I96" s="7"/>
      <c r="J96" s="7"/>
      <c r="K96" s="7"/>
    </row>
    <row r="97">
      <c r="A97" s="7"/>
      <c r="B97" s="7"/>
      <c r="C97" s="7"/>
      <c r="D97" s="7"/>
      <c r="E97" s="7"/>
      <c r="F97" s="7"/>
      <c r="G97" s="7"/>
      <c r="H97" s="7"/>
      <c r="I97" s="7"/>
      <c r="J97" s="7"/>
      <c r="K97" s="7"/>
    </row>
    <row r="98">
      <c r="A98" s="7"/>
      <c r="B98" s="7"/>
      <c r="C98" s="7"/>
      <c r="D98" s="7"/>
      <c r="E98" s="7"/>
      <c r="F98" s="7"/>
      <c r="G98" s="7"/>
      <c r="H98" s="7"/>
      <c r="I98" s="7"/>
      <c r="J98" s="7"/>
      <c r="K98" s="7"/>
    </row>
    <row r="99">
      <c r="A99" s="7"/>
      <c r="B99" s="7"/>
      <c r="C99" s="7"/>
      <c r="D99" s="7"/>
      <c r="E99" s="7"/>
      <c r="F99" s="7"/>
      <c r="G99" s="7"/>
      <c r="H99" s="7"/>
      <c r="I99" s="7"/>
      <c r="J99" s="7"/>
      <c r="K99" s="7"/>
    </row>
    <row r="100">
      <c r="A100" s="7"/>
      <c r="B100" s="7"/>
      <c r="C100" s="7"/>
      <c r="D100" s="7"/>
      <c r="E100" s="7"/>
      <c r="F100" s="7"/>
      <c r="G100" s="7"/>
      <c r="H100" s="7"/>
      <c r="I100" s="7"/>
      <c r="J100" s="7"/>
      <c r="K100" s="7"/>
    </row>
    <row r="101">
      <c r="A101" s="7"/>
      <c r="B101" s="7"/>
      <c r="C101" s="7"/>
      <c r="D101" s="7"/>
      <c r="E101" s="7"/>
      <c r="F101" s="7"/>
      <c r="G101" s="7"/>
      <c r="H101" s="7"/>
      <c r="I101" s="7"/>
      <c r="J101" s="7"/>
      <c r="K101" s="7"/>
    </row>
    <row r="102">
      <c r="A102" s="7"/>
      <c r="B102" s="7"/>
      <c r="C102" s="7"/>
      <c r="D102" s="7"/>
      <c r="E102" s="7"/>
      <c r="F102" s="7"/>
      <c r="G102" s="7"/>
      <c r="H102" s="7"/>
      <c r="I102" s="7"/>
      <c r="J102" s="7"/>
      <c r="K102" s="7"/>
    </row>
    <row r="103">
      <c r="A103" s="7"/>
      <c r="B103" s="7"/>
      <c r="C103" s="7"/>
      <c r="D103" s="7"/>
      <c r="E103" s="7"/>
      <c r="F103" s="7"/>
      <c r="G103" s="7"/>
      <c r="H103" s="7"/>
      <c r="I103" s="7"/>
      <c r="J103" s="7"/>
      <c r="K103" s="7"/>
    </row>
    <row r="104">
      <c r="A104" s="7"/>
      <c r="B104" s="7"/>
      <c r="C104" s="7"/>
      <c r="D104" s="7"/>
      <c r="E104" s="7"/>
      <c r="F104" s="7"/>
      <c r="G104" s="7"/>
      <c r="H104" s="7"/>
      <c r="I104" s="7"/>
      <c r="J104" s="7"/>
      <c r="K104" s="7"/>
    </row>
    <row r="105">
      <c r="A105" s="7"/>
      <c r="B105" s="7"/>
      <c r="C105" s="7"/>
      <c r="D105" s="7"/>
      <c r="E105" s="7"/>
      <c r="F105" s="7"/>
      <c r="G105" s="7"/>
      <c r="H105" s="7"/>
      <c r="I105" s="7"/>
      <c r="J105" s="7"/>
      <c r="K105" s="7"/>
    </row>
    <row r="106">
      <c r="A106" s="7"/>
      <c r="B106" s="7"/>
      <c r="C106" s="7"/>
      <c r="D106" s="7"/>
      <c r="E106" s="7"/>
      <c r="F106" s="7"/>
      <c r="G106" s="7"/>
      <c r="H106" s="7"/>
      <c r="I106" s="7"/>
      <c r="J106" s="7"/>
      <c r="K106" s="7"/>
    </row>
    <row r="107">
      <c r="A107" s="7"/>
      <c r="B107" s="7"/>
      <c r="C107" s="7"/>
      <c r="D107" s="7"/>
      <c r="E107" s="7"/>
      <c r="F107" s="7"/>
      <c r="G107" s="7"/>
      <c r="H107" s="7"/>
      <c r="I107" s="7"/>
      <c r="J107" s="7"/>
      <c r="K107" s="7"/>
    </row>
    <row r="108">
      <c r="A108" s="7"/>
      <c r="B108" s="7"/>
      <c r="C108" s="7"/>
      <c r="D108" s="7"/>
      <c r="E108" s="7"/>
      <c r="F108" s="7"/>
      <c r="G108" s="7"/>
      <c r="H108" s="7"/>
      <c r="I108" s="7"/>
      <c r="J108" s="7"/>
      <c r="K108" s="7"/>
    </row>
    <row r="109">
      <c r="A109" s="7"/>
      <c r="B109" s="7"/>
      <c r="C109" s="7"/>
      <c r="D109" s="7"/>
      <c r="E109" s="7"/>
      <c r="F109" s="7"/>
      <c r="G109" s="7"/>
      <c r="H109" s="7"/>
      <c r="I109" s="7"/>
      <c r="J109" s="7"/>
      <c r="K109" s="7"/>
    </row>
    <row r="110">
      <c r="A110" s="7"/>
      <c r="B110" s="7"/>
      <c r="C110" s="7"/>
      <c r="D110" s="7"/>
      <c r="E110" s="7"/>
      <c r="F110" s="7"/>
      <c r="G110" s="7"/>
      <c r="H110" s="7"/>
      <c r="I110" s="7"/>
      <c r="J110" s="7"/>
      <c r="K110" s="7"/>
    </row>
    <row r="111">
      <c r="A111" s="7"/>
      <c r="B111" s="7"/>
      <c r="C111" s="7"/>
      <c r="D111" s="7"/>
      <c r="E111" s="7"/>
      <c r="F111" s="7"/>
      <c r="G111" s="7"/>
      <c r="H111" s="7"/>
      <c r="I111" s="7"/>
      <c r="J111" s="7"/>
      <c r="K111" s="7"/>
    </row>
    <row r="112">
      <c r="A112" s="7"/>
      <c r="B112" s="7"/>
      <c r="C112" s="7"/>
      <c r="D112" s="7"/>
      <c r="E112" s="7"/>
      <c r="F112" s="7"/>
      <c r="G112" s="7"/>
      <c r="H112" s="7"/>
      <c r="I112" s="7"/>
      <c r="J112" s="7"/>
      <c r="K112" s="7"/>
    </row>
    <row r="113">
      <c r="A113" s="7"/>
      <c r="B113" s="7"/>
      <c r="C113" s="7"/>
      <c r="D113" s="7"/>
      <c r="E113" s="7"/>
      <c r="F113" s="7"/>
      <c r="G113" s="7"/>
      <c r="H113" s="7"/>
      <c r="I113" s="7"/>
      <c r="J113" s="7"/>
      <c r="K113" s="7"/>
    </row>
    <row r="114">
      <c r="A114" s="7"/>
      <c r="B114" s="7"/>
      <c r="C114" s="7"/>
      <c r="D114" s="7"/>
      <c r="E114" s="7"/>
      <c r="F114" s="7"/>
      <c r="G114" s="7"/>
      <c r="H114" s="7"/>
      <c r="I114" s="7"/>
      <c r="J114" s="7"/>
      <c r="K114" s="7"/>
    </row>
    <row r="115">
      <c r="A115" s="7"/>
      <c r="B115" s="7"/>
      <c r="C115" s="7"/>
      <c r="D115" s="7"/>
      <c r="E115" s="7"/>
      <c r="F115" s="7"/>
      <c r="G115" s="7"/>
      <c r="H115" s="7"/>
      <c r="I115" s="7"/>
      <c r="J115" s="7"/>
      <c r="K115" s="7"/>
    </row>
    <row r="116">
      <c r="A116" s="7"/>
      <c r="B116" s="7"/>
      <c r="C116" s="7"/>
      <c r="D116" s="7"/>
      <c r="E116" s="7"/>
      <c r="F116" s="7"/>
      <c r="G116" s="7"/>
      <c r="H116" s="7"/>
      <c r="I116" s="7"/>
      <c r="J116" s="7"/>
      <c r="K116" s="7"/>
    </row>
    <row r="117">
      <c r="A117" s="7"/>
      <c r="B117" s="7"/>
      <c r="C117" s="7"/>
      <c r="D117" s="7"/>
      <c r="E117" s="7"/>
      <c r="F117" s="7"/>
      <c r="G117" s="7"/>
      <c r="H117" s="7"/>
      <c r="I117" s="7"/>
      <c r="J117" s="7"/>
      <c r="K117" s="7"/>
    </row>
    <row r="118">
      <c r="A118" s="7"/>
      <c r="B118" s="7"/>
      <c r="C118" s="7"/>
      <c r="D118" s="7"/>
      <c r="E118" s="7"/>
      <c r="F118" s="7"/>
      <c r="G118" s="7"/>
      <c r="H118" s="7"/>
      <c r="I118" s="7"/>
      <c r="J118" s="7"/>
      <c r="K118" s="7"/>
    </row>
    <row r="119">
      <c r="A119" s="7"/>
      <c r="B119" s="7"/>
      <c r="C119" s="7"/>
      <c r="D119" s="7"/>
      <c r="E119" s="7"/>
      <c r="F119" s="7"/>
      <c r="G119" s="7"/>
      <c r="H119" s="7"/>
      <c r="I119" s="7"/>
      <c r="J119" s="7"/>
      <c r="K119" s="7"/>
    </row>
    <row r="120">
      <c r="A120" s="7"/>
      <c r="B120" s="7"/>
      <c r="C120" s="7"/>
      <c r="D120" s="7"/>
      <c r="E120" s="7"/>
      <c r="F120" s="7"/>
      <c r="G120" s="7"/>
      <c r="H120" s="7"/>
      <c r="I120" s="7"/>
      <c r="J120" s="7"/>
      <c r="K120" s="7"/>
    </row>
    <row r="121">
      <c r="A121" s="7"/>
      <c r="B121" s="7"/>
      <c r="C121" s="7"/>
      <c r="D121" s="7"/>
      <c r="E121" s="7"/>
      <c r="F121" s="7"/>
      <c r="G121" s="7"/>
      <c r="H121" s="7"/>
      <c r="I121" s="7"/>
      <c r="J121" s="7"/>
      <c r="K121" s="7"/>
    </row>
    <row r="122">
      <c r="A122" s="7"/>
      <c r="B122" s="7"/>
      <c r="C122" s="7"/>
      <c r="D122" s="7"/>
      <c r="E122" s="7"/>
      <c r="F122" s="7"/>
      <c r="G122" s="7"/>
      <c r="H122" s="7"/>
      <c r="I122" s="7"/>
      <c r="J122" s="7"/>
      <c r="K122" s="7"/>
    </row>
    <row r="123">
      <c r="A123" s="7"/>
      <c r="B123" s="7"/>
      <c r="C123" s="7"/>
      <c r="D123" s="7"/>
      <c r="E123" s="7"/>
      <c r="F123" s="7"/>
      <c r="G123" s="7"/>
      <c r="H123" s="7"/>
      <c r="I123" s="7"/>
      <c r="J123" s="7"/>
      <c r="K123" s="7"/>
    </row>
    <row r="124">
      <c r="A124" s="7"/>
      <c r="B124" s="7"/>
      <c r="C124" s="7"/>
      <c r="D124" s="7"/>
      <c r="E124" s="7"/>
      <c r="F124" s="7"/>
      <c r="G124" s="7"/>
      <c r="H124" s="7"/>
      <c r="I124" s="7"/>
      <c r="J124" s="7"/>
      <c r="K124" s="7"/>
    </row>
    <row r="125">
      <c r="A125" s="7"/>
      <c r="B125" s="7"/>
      <c r="C125" s="7"/>
      <c r="D125" s="7"/>
      <c r="E125" s="7"/>
      <c r="F125" s="7"/>
      <c r="G125" s="7"/>
      <c r="H125" s="7"/>
      <c r="I125" s="7"/>
      <c r="J125" s="7"/>
      <c r="K125" s="7"/>
    </row>
    <row r="126">
      <c r="A126" s="7"/>
      <c r="B126" s="7"/>
      <c r="C126" s="7"/>
      <c r="D126" s="7"/>
      <c r="E126" s="7"/>
      <c r="F126" s="7"/>
      <c r="G126" s="7"/>
      <c r="H126" s="7"/>
      <c r="I126" s="7"/>
      <c r="J126" s="7"/>
      <c r="K126" s="7"/>
    </row>
    <row r="127">
      <c r="A127" s="7"/>
      <c r="B127" s="7"/>
      <c r="C127" s="7"/>
      <c r="D127" s="7"/>
      <c r="E127" s="7"/>
      <c r="F127" s="7"/>
      <c r="G127" s="7"/>
      <c r="H127" s="7"/>
      <c r="I127" s="7"/>
      <c r="J127" s="7"/>
      <c r="K127" s="7"/>
    </row>
    <row r="128">
      <c r="A128" s="7"/>
      <c r="B128" s="7"/>
      <c r="C128" s="7"/>
      <c r="D128" s="7"/>
      <c r="E128" s="7"/>
      <c r="F128" s="7"/>
      <c r="G128" s="7"/>
      <c r="H128" s="7"/>
      <c r="I128" s="7"/>
      <c r="J128" s="7"/>
      <c r="K128" s="7"/>
    </row>
    <row r="129">
      <c r="A129" s="7"/>
      <c r="B129" s="7"/>
      <c r="C129" s="7"/>
      <c r="D129" s="7"/>
      <c r="E129" s="7"/>
      <c r="F129" s="7"/>
      <c r="G129" s="7"/>
      <c r="H129" s="7"/>
      <c r="I129" s="7"/>
      <c r="J129" s="7"/>
      <c r="K129" s="7"/>
    </row>
    <row r="130">
      <c r="A130" s="7"/>
      <c r="B130" s="7"/>
      <c r="C130" s="7"/>
      <c r="D130" s="7"/>
      <c r="E130" s="7"/>
      <c r="F130" s="7"/>
      <c r="G130" s="7"/>
      <c r="H130" s="7"/>
      <c r="I130" s="7"/>
      <c r="J130" s="7"/>
      <c r="K130" s="7"/>
    </row>
    <row r="131">
      <c r="A131" s="7"/>
      <c r="B131" s="7"/>
      <c r="C131" s="7"/>
      <c r="D131" s="7"/>
      <c r="E131" s="7"/>
      <c r="F131" s="7"/>
      <c r="G131" s="7"/>
      <c r="H131" s="7"/>
      <c r="I131" s="7"/>
      <c r="J131" s="7"/>
      <c r="K131" s="7"/>
    </row>
    <row r="132">
      <c r="A132" s="7"/>
      <c r="B132" s="7"/>
      <c r="C132" s="7"/>
      <c r="D132" s="7"/>
      <c r="E132" s="7"/>
      <c r="F132" s="7"/>
      <c r="G132" s="7"/>
      <c r="H132" s="7"/>
      <c r="I132" s="7"/>
      <c r="J132" s="7"/>
      <c r="K132" s="7"/>
    </row>
    <row r="133">
      <c r="A133" s="7"/>
      <c r="B133" s="7"/>
      <c r="C133" s="7"/>
      <c r="D133" s="7"/>
      <c r="E133" s="7"/>
      <c r="F133" s="7"/>
      <c r="G133" s="7"/>
      <c r="H133" s="7"/>
      <c r="I133" s="7"/>
      <c r="J133" s="7"/>
      <c r="K133" s="7"/>
    </row>
    <row r="134">
      <c r="A134" s="7"/>
      <c r="B134" s="7"/>
      <c r="C134" s="7"/>
      <c r="D134" s="7"/>
      <c r="E134" s="7"/>
      <c r="F134" s="7"/>
      <c r="G134" s="7"/>
      <c r="H134" s="7"/>
      <c r="I134" s="7"/>
      <c r="J134" s="7"/>
      <c r="K134" s="7"/>
    </row>
    <row r="135">
      <c r="A135" s="7"/>
      <c r="B135" s="7"/>
      <c r="C135" s="7"/>
      <c r="D135" s="7"/>
      <c r="E135" s="7"/>
      <c r="F135" s="7"/>
      <c r="G135" s="7"/>
      <c r="H135" s="7"/>
      <c r="I135" s="7"/>
      <c r="J135" s="7"/>
      <c r="K135" s="7"/>
    </row>
    <row r="136">
      <c r="A136" s="7"/>
      <c r="B136" s="7"/>
      <c r="C136" s="7"/>
      <c r="D136" s="7"/>
      <c r="E136" s="7"/>
      <c r="F136" s="7"/>
      <c r="G136" s="7"/>
      <c r="H136" s="7"/>
      <c r="I136" s="7"/>
      <c r="J136" s="7"/>
      <c r="K136" s="7"/>
    </row>
    <row r="137">
      <c r="A137" s="7"/>
      <c r="B137" s="7"/>
      <c r="C137" s="7"/>
      <c r="D137" s="7"/>
      <c r="E137" s="7"/>
      <c r="F137" s="7"/>
      <c r="G137" s="7"/>
      <c r="H137" s="7"/>
      <c r="I137" s="7"/>
      <c r="J137" s="7"/>
      <c r="K137" s="7"/>
    </row>
    <row r="138">
      <c r="A138" s="7"/>
      <c r="B138" s="7"/>
      <c r="C138" s="7"/>
      <c r="D138" s="7"/>
      <c r="E138" s="7"/>
      <c r="F138" s="7"/>
      <c r="G138" s="7"/>
      <c r="H138" s="7"/>
      <c r="I138" s="7"/>
      <c r="J138" s="7"/>
      <c r="K138" s="7"/>
    </row>
    <row r="139">
      <c r="A139" s="7"/>
      <c r="B139" s="7"/>
      <c r="C139" s="7"/>
      <c r="D139" s="7"/>
      <c r="E139" s="7"/>
      <c r="F139" s="7"/>
      <c r="G139" s="7"/>
      <c r="H139" s="7"/>
      <c r="I139" s="7"/>
      <c r="J139" s="7"/>
      <c r="K139" s="7"/>
    </row>
    <row r="140">
      <c r="A140" s="7"/>
      <c r="B140" s="7"/>
      <c r="C140" s="7"/>
      <c r="D140" s="7"/>
      <c r="E140" s="7"/>
      <c r="F140" s="7"/>
      <c r="G140" s="7"/>
      <c r="H140" s="7"/>
      <c r="I140" s="7"/>
      <c r="J140" s="7"/>
      <c r="K140" s="7"/>
    </row>
    <row r="141">
      <c r="A141" s="7"/>
      <c r="B141" s="7"/>
      <c r="C141" s="7"/>
      <c r="D141" s="7"/>
      <c r="E141" s="7"/>
      <c r="F141" s="7"/>
      <c r="G141" s="7"/>
      <c r="H141" s="7"/>
      <c r="I141" s="7"/>
      <c r="J141" s="7"/>
      <c r="K141" s="7"/>
    </row>
    <row r="142">
      <c r="A142" s="7"/>
      <c r="B142" s="7"/>
      <c r="C142" s="7"/>
      <c r="D142" s="7"/>
      <c r="E142" s="7"/>
      <c r="F142" s="7"/>
      <c r="G142" s="7"/>
      <c r="H142" s="7"/>
      <c r="I142" s="7"/>
      <c r="J142" s="7"/>
      <c r="K142" s="7"/>
    </row>
    <row r="143">
      <c r="A143" s="7"/>
      <c r="B143" s="7"/>
      <c r="C143" s="7"/>
      <c r="D143" s="7"/>
      <c r="E143" s="7"/>
      <c r="F143" s="7"/>
      <c r="G143" s="7"/>
      <c r="H143" s="7"/>
      <c r="I143" s="7"/>
      <c r="J143" s="7"/>
      <c r="K143" s="7"/>
    </row>
    <row r="144">
      <c r="A144" s="7"/>
      <c r="B144" s="7"/>
      <c r="C144" s="7"/>
      <c r="D144" s="7"/>
      <c r="E144" s="7"/>
      <c r="F144" s="7"/>
      <c r="G144" s="7"/>
      <c r="H144" s="7"/>
      <c r="I144" s="7"/>
      <c r="J144" s="7"/>
      <c r="K144" s="7"/>
    </row>
    <row r="145">
      <c r="A145" s="7"/>
      <c r="B145" s="7"/>
      <c r="C145" s="7"/>
      <c r="D145" s="7"/>
      <c r="E145" s="7"/>
      <c r="F145" s="7"/>
      <c r="G145" s="7"/>
      <c r="H145" s="7"/>
      <c r="I145" s="7"/>
      <c r="J145" s="7"/>
      <c r="K145" s="7"/>
    </row>
    <row r="146">
      <c r="A146" s="7"/>
      <c r="B146" s="7"/>
      <c r="C146" s="7"/>
      <c r="D146" s="7"/>
      <c r="E146" s="7"/>
      <c r="F146" s="7"/>
      <c r="G146" s="7"/>
      <c r="H146" s="7"/>
      <c r="I146" s="7"/>
      <c r="J146" s="7"/>
      <c r="K146" s="7"/>
    </row>
    <row r="147">
      <c r="A147" s="7"/>
      <c r="B147" s="7"/>
      <c r="C147" s="7"/>
      <c r="D147" s="7"/>
      <c r="E147" s="7"/>
      <c r="F147" s="7"/>
      <c r="G147" s="7"/>
      <c r="H147" s="7"/>
      <c r="I147" s="7"/>
      <c r="J147" s="7"/>
      <c r="K147" s="7"/>
    </row>
    <row r="148">
      <c r="A148" s="7"/>
      <c r="B148" s="7"/>
      <c r="C148" s="7"/>
      <c r="D148" s="7"/>
      <c r="E148" s="7"/>
      <c r="F148" s="7"/>
      <c r="G148" s="7"/>
      <c r="H148" s="7"/>
      <c r="I148" s="7"/>
      <c r="J148" s="7"/>
      <c r="K148" s="7"/>
    </row>
    <row r="149">
      <c r="A149" s="7"/>
      <c r="B149" s="7"/>
      <c r="C149" s="7"/>
      <c r="D149" s="7"/>
      <c r="E149" s="7"/>
      <c r="F149" s="7"/>
      <c r="G149" s="7"/>
      <c r="H149" s="7"/>
      <c r="I149" s="7"/>
      <c r="J149" s="7"/>
      <c r="K149" s="7"/>
    </row>
    <row r="150">
      <c r="A150" s="7"/>
      <c r="B150" s="7"/>
      <c r="C150" s="7"/>
      <c r="D150" s="7"/>
      <c r="E150" s="7"/>
      <c r="F150" s="7"/>
      <c r="G150" s="7"/>
      <c r="H150" s="7"/>
      <c r="I150" s="7"/>
      <c r="J150" s="7"/>
      <c r="K150" s="7"/>
    </row>
    <row r="151">
      <c r="A151" s="7"/>
      <c r="B151" s="7"/>
      <c r="C151" s="7"/>
      <c r="D151" s="7"/>
      <c r="E151" s="7"/>
      <c r="F151" s="7"/>
      <c r="G151" s="7"/>
      <c r="H151" s="7"/>
      <c r="I151" s="7"/>
      <c r="J151" s="7"/>
      <c r="K151" s="7"/>
    </row>
    <row r="152">
      <c r="A152" s="7"/>
      <c r="B152" s="7"/>
      <c r="C152" s="7"/>
      <c r="D152" s="7"/>
      <c r="E152" s="7"/>
      <c r="F152" s="7"/>
      <c r="G152" s="7"/>
      <c r="H152" s="7"/>
      <c r="I152" s="7"/>
      <c r="J152" s="7"/>
      <c r="K152" s="7"/>
    </row>
    <row r="153">
      <c r="A153" s="7"/>
      <c r="B153" s="7"/>
      <c r="C153" s="7"/>
      <c r="D153" s="7"/>
      <c r="E153" s="7"/>
      <c r="F153" s="7"/>
      <c r="G153" s="7"/>
      <c r="H153" s="7"/>
      <c r="I153" s="7"/>
      <c r="J153" s="7"/>
      <c r="K153" s="7"/>
    </row>
    <row r="154">
      <c r="A154" s="7"/>
      <c r="B154" s="7"/>
      <c r="C154" s="7"/>
      <c r="D154" s="7"/>
      <c r="E154" s="7"/>
      <c r="F154" s="7"/>
      <c r="G154" s="7"/>
      <c r="H154" s="7"/>
      <c r="I154" s="7"/>
      <c r="J154" s="7"/>
      <c r="K154" s="7"/>
    </row>
    <row r="155">
      <c r="A155" s="7"/>
      <c r="B155" s="7"/>
      <c r="C155" s="7"/>
      <c r="D155" s="7"/>
      <c r="E155" s="7"/>
      <c r="F155" s="7"/>
      <c r="G155" s="7"/>
      <c r="H155" s="7"/>
      <c r="I155" s="7"/>
      <c r="J155" s="7"/>
      <c r="K155" s="7"/>
    </row>
    <row r="156">
      <c r="A156" s="7"/>
      <c r="B156" s="7"/>
      <c r="C156" s="7"/>
      <c r="D156" s="7"/>
      <c r="E156" s="7"/>
      <c r="F156" s="7"/>
      <c r="G156" s="7"/>
      <c r="H156" s="7"/>
      <c r="I156" s="7"/>
      <c r="J156" s="7"/>
      <c r="K156" s="7"/>
    </row>
    <row r="157">
      <c r="A157" s="7"/>
      <c r="B157" s="7"/>
      <c r="C157" s="7"/>
      <c r="D157" s="7"/>
      <c r="E157" s="7"/>
      <c r="F157" s="7"/>
      <c r="G157" s="7"/>
      <c r="H157" s="7"/>
      <c r="I157" s="7"/>
      <c r="J157" s="7"/>
      <c r="K157" s="7"/>
    </row>
    <row r="158">
      <c r="A158" s="7"/>
      <c r="B158" s="7"/>
      <c r="C158" s="7"/>
      <c r="D158" s="7"/>
      <c r="E158" s="7"/>
      <c r="F158" s="7"/>
      <c r="G158" s="7"/>
      <c r="H158" s="7"/>
      <c r="I158" s="7"/>
      <c r="J158" s="7"/>
      <c r="K158" s="7"/>
    </row>
    <row r="159">
      <c r="A159" s="7"/>
      <c r="B159" s="7"/>
      <c r="C159" s="7"/>
      <c r="D159" s="7"/>
      <c r="E159" s="7"/>
      <c r="F159" s="7"/>
      <c r="G159" s="7"/>
      <c r="H159" s="7"/>
      <c r="I159" s="7"/>
      <c r="J159" s="7"/>
      <c r="K159" s="7"/>
    </row>
    <row r="160">
      <c r="A160" s="7"/>
      <c r="B160" s="7"/>
      <c r="C160" s="7"/>
      <c r="D160" s="7"/>
      <c r="E160" s="7"/>
      <c r="F160" s="7"/>
      <c r="G160" s="7"/>
      <c r="H160" s="7"/>
      <c r="I160" s="7"/>
      <c r="J160" s="7"/>
      <c r="K160" s="7"/>
    </row>
    <row r="161">
      <c r="A161" s="7"/>
      <c r="B161" s="7"/>
      <c r="C161" s="7"/>
      <c r="D161" s="7"/>
      <c r="E161" s="7"/>
      <c r="F161" s="7"/>
      <c r="G161" s="7"/>
      <c r="H161" s="7"/>
      <c r="I161" s="7"/>
      <c r="J161" s="7"/>
      <c r="K161" s="7"/>
    </row>
    <row r="162">
      <c r="A162" s="7"/>
      <c r="B162" s="7"/>
      <c r="C162" s="7"/>
      <c r="D162" s="7"/>
      <c r="E162" s="7"/>
      <c r="F162" s="7"/>
      <c r="G162" s="7"/>
      <c r="H162" s="7"/>
      <c r="I162" s="7"/>
      <c r="J162" s="7"/>
      <c r="K162" s="7"/>
    </row>
    <row r="163">
      <c r="A163" s="7"/>
      <c r="B163" s="7"/>
      <c r="C163" s="7"/>
      <c r="D163" s="7"/>
      <c r="E163" s="7"/>
      <c r="F163" s="7"/>
      <c r="G163" s="7"/>
      <c r="H163" s="7"/>
      <c r="I163" s="7"/>
      <c r="J163" s="7"/>
      <c r="K163" s="7"/>
    </row>
    <row r="164">
      <c r="A164" s="7"/>
      <c r="B164" s="7"/>
      <c r="C164" s="7"/>
      <c r="D164" s="7"/>
      <c r="E164" s="7"/>
      <c r="F164" s="7"/>
      <c r="G164" s="7"/>
      <c r="H164" s="7"/>
      <c r="I164" s="7"/>
      <c r="J164" s="7"/>
      <c r="K164" s="7"/>
    </row>
    <row r="165">
      <c r="A165" s="7"/>
      <c r="B165" s="7"/>
      <c r="C165" s="7"/>
      <c r="D165" s="7"/>
      <c r="E165" s="7"/>
      <c r="F165" s="7"/>
      <c r="G165" s="7"/>
      <c r="H165" s="7"/>
      <c r="I165" s="7"/>
      <c r="J165" s="7"/>
      <c r="K165" s="7"/>
    </row>
    <row r="166">
      <c r="A166" s="7"/>
      <c r="B166" s="7"/>
      <c r="C166" s="7"/>
      <c r="D166" s="7"/>
      <c r="E166" s="7"/>
      <c r="F166" s="7"/>
      <c r="G166" s="7"/>
      <c r="H166" s="7"/>
      <c r="I166" s="7"/>
      <c r="J166" s="7"/>
      <c r="K166" s="7"/>
    </row>
    <row r="167">
      <c r="A167" s="7"/>
      <c r="B167" s="7"/>
      <c r="C167" s="7"/>
      <c r="D167" s="7"/>
      <c r="E167" s="7"/>
      <c r="F167" s="7"/>
      <c r="G167" s="7"/>
      <c r="H167" s="7"/>
      <c r="I167" s="7"/>
      <c r="J167" s="7"/>
      <c r="K167" s="7"/>
    </row>
    <row r="168">
      <c r="A168" s="7"/>
      <c r="B168" s="7"/>
      <c r="C168" s="7"/>
      <c r="D168" s="7"/>
      <c r="E168" s="7"/>
      <c r="F168" s="7"/>
      <c r="G168" s="7"/>
      <c r="H168" s="7"/>
      <c r="I168" s="7"/>
      <c r="J168" s="7"/>
      <c r="K168" s="7"/>
    </row>
    <row r="169">
      <c r="A169" s="7"/>
      <c r="B169" s="7"/>
      <c r="C169" s="7"/>
      <c r="D169" s="7"/>
      <c r="E169" s="7"/>
      <c r="F169" s="7"/>
      <c r="G169" s="7"/>
      <c r="H169" s="7"/>
      <c r="I169" s="7"/>
      <c r="J169" s="7"/>
      <c r="K169" s="7"/>
    </row>
    <row r="170">
      <c r="A170" s="7"/>
      <c r="B170" s="7"/>
      <c r="C170" s="7"/>
      <c r="D170" s="7"/>
      <c r="E170" s="7"/>
      <c r="F170" s="7"/>
      <c r="G170" s="7"/>
      <c r="H170" s="7"/>
      <c r="I170" s="7"/>
      <c r="J170" s="7"/>
      <c r="K170" s="7"/>
    </row>
    <row r="171">
      <c r="A171" s="7"/>
      <c r="B171" s="7"/>
      <c r="C171" s="7"/>
      <c r="D171" s="7"/>
      <c r="E171" s="7"/>
      <c r="F171" s="7"/>
      <c r="G171" s="7"/>
      <c r="H171" s="7"/>
      <c r="I171" s="7"/>
      <c r="J171" s="7"/>
      <c r="K171" s="7"/>
    </row>
    <row r="172">
      <c r="A172" s="7"/>
      <c r="B172" s="7"/>
      <c r="C172" s="7"/>
      <c r="D172" s="7"/>
      <c r="E172" s="7"/>
      <c r="F172" s="7"/>
      <c r="G172" s="7"/>
      <c r="H172" s="7"/>
      <c r="I172" s="7"/>
      <c r="J172" s="7"/>
      <c r="K172" s="7"/>
    </row>
    <row r="173">
      <c r="A173" s="7"/>
      <c r="B173" s="7"/>
      <c r="C173" s="7"/>
      <c r="D173" s="7"/>
      <c r="E173" s="7"/>
      <c r="F173" s="7"/>
      <c r="G173" s="7"/>
      <c r="H173" s="7"/>
      <c r="I173" s="7"/>
      <c r="J173" s="7"/>
      <c r="K173" s="7"/>
    </row>
    <row r="174">
      <c r="A174" s="7"/>
      <c r="B174" s="7"/>
      <c r="C174" s="7"/>
      <c r="D174" s="7"/>
      <c r="E174" s="7"/>
      <c r="F174" s="7"/>
      <c r="G174" s="7"/>
      <c r="H174" s="7"/>
      <c r="I174" s="7"/>
      <c r="J174" s="7"/>
      <c r="K174" s="7"/>
    </row>
    <row r="175">
      <c r="A175" s="7"/>
      <c r="B175" s="7"/>
      <c r="C175" s="7"/>
      <c r="D175" s="7"/>
      <c r="E175" s="7"/>
      <c r="F175" s="7"/>
      <c r="G175" s="7"/>
      <c r="H175" s="7"/>
      <c r="I175" s="7"/>
      <c r="J175" s="7"/>
      <c r="K175" s="7"/>
    </row>
    <row r="176">
      <c r="A176" s="7"/>
      <c r="B176" s="7"/>
      <c r="C176" s="7"/>
      <c r="D176" s="7"/>
      <c r="E176" s="7"/>
      <c r="F176" s="7"/>
      <c r="G176" s="7"/>
      <c r="H176" s="7"/>
      <c r="I176" s="7"/>
      <c r="J176" s="7"/>
      <c r="K176" s="7"/>
    </row>
    <row r="177">
      <c r="A177" s="7"/>
      <c r="B177" s="7"/>
      <c r="C177" s="7"/>
      <c r="D177" s="7"/>
      <c r="E177" s="7"/>
      <c r="F177" s="7"/>
      <c r="G177" s="7"/>
      <c r="H177" s="7"/>
      <c r="I177" s="7"/>
      <c r="J177" s="7"/>
      <c r="K177" s="7"/>
    </row>
    <row r="178">
      <c r="A178" s="7"/>
      <c r="B178" s="7"/>
      <c r="C178" s="7"/>
      <c r="D178" s="7"/>
      <c r="E178" s="7"/>
      <c r="F178" s="7"/>
      <c r="G178" s="7"/>
      <c r="H178" s="7"/>
      <c r="I178" s="7"/>
      <c r="J178" s="7"/>
      <c r="K178" s="7"/>
    </row>
    <row r="179">
      <c r="A179" s="7"/>
      <c r="B179" s="7"/>
      <c r="C179" s="7"/>
      <c r="D179" s="7"/>
      <c r="E179" s="7"/>
      <c r="F179" s="7"/>
      <c r="G179" s="7"/>
      <c r="H179" s="7"/>
      <c r="I179" s="7"/>
      <c r="J179" s="7"/>
      <c r="K179" s="7"/>
    </row>
    <row r="180">
      <c r="A180" s="7"/>
      <c r="B180" s="7"/>
      <c r="C180" s="7"/>
      <c r="D180" s="7"/>
      <c r="E180" s="7"/>
      <c r="F180" s="7"/>
      <c r="G180" s="7"/>
      <c r="H180" s="7"/>
      <c r="I180" s="7"/>
      <c r="J180" s="7"/>
      <c r="K180" s="7"/>
    </row>
    <row r="181">
      <c r="A181" s="7"/>
      <c r="B181" s="7"/>
      <c r="C181" s="7"/>
      <c r="D181" s="7"/>
      <c r="E181" s="7"/>
      <c r="F181" s="7"/>
      <c r="G181" s="7"/>
      <c r="H181" s="7"/>
      <c r="I181" s="7"/>
      <c r="J181" s="7"/>
      <c r="K181" s="7"/>
    </row>
    <row r="182">
      <c r="A182" s="7"/>
      <c r="B182" s="7"/>
      <c r="C182" s="7"/>
      <c r="D182" s="7"/>
      <c r="E182" s="7"/>
      <c r="F182" s="7"/>
      <c r="G182" s="7"/>
      <c r="H182" s="7"/>
      <c r="I182" s="7"/>
      <c r="J182" s="7"/>
      <c r="K182" s="7"/>
    </row>
    <row r="183">
      <c r="A183" s="7"/>
      <c r="B183" s="7"/>
      <c r="C183" s="7"/>
      <c r="D183" s="7"/>
      <c r="E183" s="7"/>
      <c r="F183" s="7"/>
      <c r="G183" s="7"/>
      <c r="H183" s="7"/>
      <c r="I183" s="7"/>
      <c r="J183" s="7"/>
      <c r="K183" s="7"/>
    </row>
    <row r="184">
      <c r="A184" s="7"/>
      <c r="B184" s="7"/>
      <c r="C184" s="7"/>
      <c r="D184" s="7"/>
      <c r="E184" s="7"/>
      <c r="F184" s="7"/>
      <c r="G184" s="7"/>
      <c r="H184" s="7"/>
      <c r="I184" s="7"/>
      <c r="J184" s="7"/>
      <c r="K184" s="7"/>
    </row>
    <row r="185">
      <c r="A185" s="7"/>
      <c r="B185" s="7"/>
      <c r="C185" s="7"/>
      <c r="D185" s="7"/>
      <c r="E185" s="7"/>
      <c r="F185" s="7"/>
      <c r="G185" s="7"/>
      <c r="H185" s="7"/>
      <c r="I185" s="7"/>
      <c r="J185" s="7"/>
      <c r="K185" s="7"/>
    </row>
    <row r="186">
      <c r="A186" s="7"/>
      <c r="B186" s="7"/>
      <c r="C186" s="7"/>
      <c r="D186" s="7"/>
      <c r="E186" s="7"/>
      <c r="F186" s="7"/>
      <c r="G186" s="7"/>
      <c r="H186" s="7"/>
      <c r="I186" s="7"/>
      <c r="J186" s="7"/>
      <c r="K186" s="7"/>
    </row>
    <row r="187">
      <c r="A187" s="7"/>
      <c r="B187" s="7"/>
      <c r="C187" s="7"/>
      <c r="D187" s="7"/>
      <c r="E187" s="7"/>
      <c r="F187" s="7"/>
      <c r="G187" s="7"/>
      <c r="H187" s="7"/>
      <c r="I187" s="7"/>
      <c r="J187" s="7"/>
      <c r="K187" s="7"/>
    </row>
    <row r="188">
      <c r="A188" s="7"/>
      <c r="B188" s="7"/>
      <c r="C188" s="7"/>
      <c r="D188" s="7"/>
      <c r="E188" s="7"/>
      <c r="F188" s="7"/>
      <c r="G188" s="7"/>
      <c r="H188" s="7"/>
      <c r="I188" s="7"/>
      <c r="J188" s="7"/>
      <c r="K188" s="7"/>
    </row>
    <row r="189">
      <c r="A189" s="7"/>
      <c r="B189" s="7"/>
      <c r="C189" s="7"/>
      <c r="D189" s="7"/>
      <c r="E189" s="7"/>
      <c r="F189" s="7"/>
      <c r="G189" s="7"/>
      <c r="H189" s="7"/>
      <c r="I189" s="7"/>
      <c r="J189" s="7"/>
      <c r="K189" s="7"/>
    </row>
    <row r="190">
      <c r="A190" s="7"/>
      <c r="B190" s="7"/>
      <c r="C190" s="7"/>
      <c r="D190" s="7"/>
      <c r="E190" s="7"/>
      <c r="F190" s="7"/>
      <c r="G190" s="7"/>
      <c r="H190" s="7"/>
      <c r="I190" s="7"/>
      <c r="J190" s="7"/>
      <c r="K190" s="7"/>
    </row>
    <row r="191">
      <c r="A191" s="7"/>
      <c r="B191" s="7"/>
      <c r="C191" s="7"/>
      <c r="D191" s="7"/>
      <c r="E191" s="7"/>
      <c r="F191" s="7"/>
      <c r="G191" s="7"/>
      <c r="H191" s="7"/>
      <c r="I191" s="7"/>
      <c r="J191" s="7"/>
      <c r="K191" s="7"/>
    </row>
    <row r="192">
      <c r="A192" s="7"/>
      <c r="B192" s="7"/>
      <c r="C192" s="7"/>
      <c r="D192" s="7"/>
      <c r="E192" s="7"/>
      <c r="F192" s="7"/>
      <c r="G192" s="7"/>
      <c r="H192" s="7"/>
      <c r="I192" s="7"/>
      <c r="J192" s="7"/>
      <c r="K192" s="7"/>
    </row>
    <row r="193">
      <c r="A193" s="7"/>
      <c r="B193" s="7"/>
      <c r="C193" s="7"/>
      <c r="D193" s="7"/>
      <c r="E193" s="7"/>
      <c r="F193" s="7"/>
      <c r="G193" s="7"/>
      <c r="H193" s="7"/>
      <c r="I193" s="7"/>
      <c r="J193" s="7"/>
      <c r="K193" s="7"/>
    </row>
    <row r="194">
      <c r="A194" s="7"/>
      <c r="B194" s="7"/>
      <c r="C194" s="7"/>
      <c r="D194" s="7"/>
      <c r="E194" s="7"/>
      <c r="F194" s="7"/>
      <c r="G194" s="7"/>
      <c r="H194" s="7"/>
      <c r="I194" s="7"/>
      <c r="J194" s="7"/>
      <c r="K194" s="7"/>
    </row>
    <row r="195">
      <c r="A195" s="7"/>
      <c r="B195" s="7"/>
      <c r="C195" s="7"/>
      <c r="D195" s="7"/>
      <c r="E195" s="7"/>
      <c r="F195" s="7"/>
      <c r="G195" s="7"/>
      <c r="H195" s="7"/>
      <c r="I195" s="7"/>
      <c r="J195" s="7"/>
      <c r="K195" s="7"/>
    </row>
    <row r="196">
      <c r="A196" s="7"/>
      <c r="B196" s="7"/>
      <c r="C196" s="7"/>
      <c r="D196" s="7"/>
      <c r="E196" s="7"/>
      <c r="F196" s="7"/>
      <c r="G196" s="7"/>
      <c r="H196" s="7"/>
      <c r="I196" s="7"/>
      <c r="J196" s="7"/>
      <c r="K196" s="7"/>
    </row>
    <row r="197">
      <c r="A197" s="7"/>
      <c r="B197" s="7"/>
      <c r="C197" s="7"/>
      <c r="D197" s="7"/>
      <c r="E197" s="7"/>
      <c r="F197" s="7"/>
      <c r="G197" s="7"/>
      <c r="H197" s="7"/>
      <c r="I197" s="7"/>
      <c r="J197" s="7"/>
      <c r="K197" s="7"/>
    </row>
    <row r="198">
      <c r="A198" s="7"/>
      <c r="B198" s="7"/>
      <c r="C198" s="7"/>
      <c r="D198" s="7"/>
      <c r="E198" s="7"/>
      <c r="F198" s="7"/>
      <c r="G198" s="7"/>
      <c r="H198" s="7"/>
      <c r="I198" s="7"/>
      <c r="J198" s="7"/>
      <c r="K198" s="7"/>
    </row>
    <row r="199">
      <c r="A199" s="7"/>
      <c r="B199" s="7"/>
      <c r="C199" s="7"/>
      <c r="D199" s="7"/>
      <c r="E199" s="7"/>
      <c r="F199" s="7"/>
      <c r="G199" s="7"/>
      <c r="H199" s="7"/>
      <c r="I199" s="7"/>
      <c r="J199" s="7"/>
      <c r="K199" s="7"/>
    </row>
    <row r="200">
      <c r="A200" s="7"/>
      <c r="B200" s="7"/>
      <c r="C200" s="7"/>
      <c r="D200" s="7"/>
      <c r="E200" s="7"/>
      <c r="F200" s="7"/>
      <c r="G200" s="7"/>
      <c r="H200" s="7"/>
      <c r="I200" s="7"/>
      <c r="J200" s="7"/>
      <c r="K200" s="7"/>
    </row>
    <row r="201">
      <c r="A201" s="7"/>
      <c r="B201" s="7"/>
      <c r="C201" s="7"/>
      <c r="D201" s="7"/>
      <c r="E201" s="7"/>
      <c r="F201" s="7"/>
      <c r="G201" s="7"/>
      <c r="H201" s="7"/>
      <c r="I201" s="7"/>
      <c r="J201" s="7"/>
      <c r="K201" s="7"/>
    </row>
    <row r="202">
      <c r="A202" s="7"/>
      <c r="B202" s="7"/>
      <c r="C202" s="7"/>
      <c r="D202" s="7"/>
      <c r="E202" s="7"/>
      <c r="F202" s="7"/>
      <c r="G202" s="7"/>
      <c r="H202" s="7"/>
      <c r="I202" s="7"/>
      <c r="J202" s="7"/>
      <c r="K202" s="7"/>
    </row>
    <row r="203">
      <c r="A203" s="7"/>
      <c r="B203" s="7"/>
      <c r="C203" s="7"/>
      <c r="D203" s="7"/>
      <c r="E203" s="7"/>
      <c r="F203" s="7"/>
      <c r="G203" s="7"/>
      <c r="H203" s="7"/>
      <c r="I203" s="7"/>
      <c r="J203" s="7"/>
      <c r="K203" s="7"/>
    </row>
    <row r="204">
      <c r="A204" s="7"/>
      <c r="B204" s="7"/>
      <c r="C204" s="7"/>
      <c r="D204" s="7"/>
      <c r="E204" s="7"/>
      <c r="F204" s="7"/>
      <c r="G204" s="7"/>
      <c r="H204" s="7"/>
      <c r="I204" s="7"/>
      <c r="J204" s="7"/>
      <c r="K204" s="7"/>
    </row>
    <row r="205">
      <c r="A205" s="7"/>
      <c r="B205" s="7"/>
      <c r="C205" s="7"/>
      <c r="D205" s="7"/>
      <c r="E205" s="7"/>
      <c r="F205" s="7"/>
      <c r="G205" s="7"/>
      <c r="H205" s="7"/>
      <c r="I205" s="7"/>
      <c r="J205" s="7"/>
      <c r="K205" s="7"/>
    </row>
    <row r="206">
      <c r="A206" s="7"/>
      <c r="B206" s="7"/>
      <c r="C206" s="7"/>
      <c r="D206" s="7"/>
      <c r="E206" s="7"/>
      <c r="F206" s="7"/>
      <c r="G206" s="7"/>
      <c r="H206" s="7"/>
      <c r="I206" s="7"/>
      <c r="J206" s="7"/>
      <c r="K206" s="7"/>
    </row>
    <row r="207">
      <c r="A207" s="7"/>
      <c r="B207" s="7"/>
      <c r="C207" s="7"/>
      <c r="D207" s="7"/>
      <c r="E207" s="7"/>
      <c r="F207" s="7"/>
      <c r="G207" s="7"/>
      <c r="H207" s="7"/>
      <c r="I207" s="7"/>
      <c r="J207" s="7"/>
      <c r="K207" s="7"/>
    </row>
    <row r="208">
      <c r="A208" s="7"/>
      <c r="B208" s="7"/>
      <c r="C208" s="7"/>
      <c r="D208" s="7"/>
      <c r="E208" s="7"/>
      <c r="F208" s="7"/>
      <c r="G208" s="7"/>
      <c r="H208" s="7"/>
      <c r="I208" s="7"/>
      <c r="J208" s="7"/>
      <c r="K208" s="7"/>
    </row>
    <row r="209">
      <c r="A209" s="7"/>
      <c r="B209" s="7"/>
      <c r="C209" s="7"/>
      <c r="D209" s="7"/>
      <c r="E209" s="7"/>
      <c r="F209" s="7"/>
      <c r="G209" s="7"/>
      <c r="H209" s="7"/>
      <c r="I209" s="7"/>
      <c r="J209" s="7"/>
      <c r="K209" s="7"/>
    </row>
    <row r="210">
      <c r="A210" s="7"/>
      <c r="B210" s="7"/>
      <c r="C210" s="7"/>
      <c r="D210" s="7"/>
      <c r="E210" s="7"/>
      <c r="F210" s="7"/>
      <c r="G210" s="7"/>
      <c r="H210" s="7"/>
      <c r="I210" s="7"/>
      <c r="J210" s="7"/>
      <c r="K210" s="7"/>
    </row>
    <row r="211">
      <c r="A211" s="7"/>
      <c r="B211" s="7"/>
      <c r="C211" s="7"/>
      <c r="D211" s="7"/>
      <c r="E211" s="7"/>
      <c r="F211" s="7"/>
      <c r="G211" s="7"/>
      <c r="H211" s="7"/>
      <c r="I211" s="7"/>
      <c r="J211" s="7"/>
      <c r="K211" s="7"/>
    </row>
    <row r="212">
      <c r="A212" s="7"/>
      <c r="B212" s="7"/>
      <c r="C212" s="7"/>
      <c r="D212" s="7"/>
      <c r="E212" s="7"/>
      <c r="F212" s="7"/>
      <c r="G212" s="7"/>
      <c r="H212" s="7"/>
      <c r="I212" s="7"/>
      <c r="J212" s="7"/>
      <c r="K212" s="7"/>
    </row>
    <row r="213">
      <c r="A213" s="7"/>
      <c r="B213" s="7"/>
      <c r="C213" s="7"/>
      <c r="D213" s="7"/>
      <c r="E213" s="7"/>
      <c r="F213" s="7"/>
      <c r="G213" s="7"/>
      <c r="H213" s="7"/>
      <c r="I213" s="7"/>
      <c r="J213" s="7"/>
      <c r="K213" s="7"/>
    </row>
    <row r="214">
      <c r="A214" s="7"/>
      <c r="B214" s="7"/>
      <c r="C214" s="7"/>
      <c r="D214" s="7"/>
      <c r="E214" s="7"/>
      <c r="F214" s="7"/>
      <c r="G214" s="7"/>
      <c r="H214" s="7"/>
      <c r="I214" s="7"/>
      <c r="J214" s="7"/>
      <c r="K214" s="7"/>
    </row>
    <row r="215">
      <c r="A215" s="7"/>
      <c r="B215" s="7"/>
      <c r="C215" s="7"/>
      <c r="D215" s="7"/>
      <c r="E215" s="7"/>
      <c r="F215" s="7"/>
      <c r="G215" s="7"/>
      <c r="H215" s="7"/>
      <c r="I215" s="7"/>
      <c r="J215" s="7"/>
      <c r="K215" s="7"/>
    </row>
    <row r="216">
      <c r="A216" s="7"/>
      <c r="B216" s="7"/>
      <c r="C216" s="7"/>
      <c r="D216" s="7"/>
      <c r="E216" s="7"/>
      <c r="F216" s="7"/>
      <c r="G216" s="7"/>
      <c r="H216" s="7"/>
      <c r="I216" s="7"/>
      <c r="J216" s="7"/>
      <c r="K216" s="7"/>
    </row>
    <row r="217">
      <c r="A217" s="7"/>
      <c r="B217" s="7"/>
      <c r="C217" s="7"/>
      <c r="D217" s="7"/>
      <c r="E217" s="7"/>
      <c r="F217" s="7"/>
      <c r="G217" s="7"/>
      <c r="H217" s="7"/>
      <c r="I217" s="7"/>
      <c r="J217" s="7"/>
      <c r="K217" s="7"/>
    </row>
    <row r="218">
      <c r="A218" s="7"/>
      <c r="B218" s="7"/>
      <c r="C218" s="7"/>
      <c r="D218" s="7"/>
      <c r="E218" s="7"/>
      <c r="F218" s="7"/>
      <c r="G218" s="7"/>
      <c r="H218" s="7"/>
      <c r="I218" s="7"/>
      <c r="J218" s="7"/>
      <c r="K218" s="7"/>
    </row>
    <row r="219">
      <c r="A219" s="7"/>
      <c r="B219" s="7"/>
      <c r="C219" s="7"/>
      <c r="D219" s="7"/>
      <c r="E219" s="7"/>
      <c r="F219" s="7"/>
      <c r="G219" s="7"/>
      <c r="H219" s="7"/>
      <c r="I219" s="7"/>
      <c r="J219" s="7"/>
      <c r="K219" s="7"/>
    </row>
    <row r="220">
      <c r="A220" s="7"/>
      <c r="B220" s="7"/>
      <c r="C220" s="7"/>
      <c r="D220" s="7"/>
      <c r="E220" s="7"/>
      <c r="F220" s="7"/>
      <c r="G220" s="7"/>
      <c r="H220" s="7"/>
      <c r="I220" s="7"/>
      <c r="J220" s="7"/>
      <c r="K220" s="7"/>
    </row>
    <row r="221">
      <c r="A221" s="7"/>
      <c r="B221" s="7"/>
      <c r="C221" s="7"/>
      <c r="D221" s="7"/>
      <c r="E221" s="7"/>
      <c r="F221" s="7"/>
      <c r="G221" s="7"/>
      <c r="H221" s="7"/>
      <c r="I221" s="7"/>
      <c r="J221" s="7"/>
      <c r="K221" s="7"/>
    </row>
    <row r="222">
      <c r="A222" s="7"/>
      <c r="B222" s="7"/>
      <c r="C222" s="7"/>
      <c r="D222" s="7"/>
      <c r="E222" s="7"/>
      <c r="F222" s="7"/>
      <c r="G222" s="7"/>
      <c r="H222" s="7"/>
      <c r="I222" s="7"/>
      <c r="J222" s="7"/>
      <c r="K222" s="7"/>
    </row>
    <row r="223">
      <c r="A223" s="7"/>
      <c r="B223" s="7"/>
      <c r="C223" s="7"/>
      <c r="D223" s="7"/>
      <c r="E223" s="7"/>
      <c r="F223" s="7"/>
      <c r="G223" s="7"/>
      <c r="H223" s="7"/>
      <c r="I223" s="7"/>
      <c r="J223" s="7"/>
      <c r="K223" s="7"/>
    </row>
    <row r="224">
      <c r="A224" s="7"/>
      <c r="B224" s="7"/>
      <c r="C224" s="7"/>
      <c r="D224" s="7"/>
      <c r="E224" s="7"/>
      <c r="F224" s="7"/>
      <c r="G224" s="7"/>
      <c r="H224" s="7"/>
      <c r="I224" s="7"/>
      <c r="J224" s="7"/>
      <c r="K224" s="7"/>
    </row>
    <row r="225">
      <c r="A225" s="7"/>
      <c r="B225" s="7"/>
      <c r="C225" s="7"/>
      <c r="D225" s="7"/>
      <c r="E225" s="7"/>
      <c r="F225" s="7"/>
      <c r="G225" s="7"/>
      <c r="H225" s="7"/>
      <c r="I225" s="7"/>
      <c r="J225" s="7"/>
      <c r="K225" s="7"/>
    </row>
    <row r="226">
      <c r="A226" s="7"/>
      <c r="B226" s="7"/>
      <c r="C226" s="7"/>
      <c r="D226" s="7"/>
      <c r="E226" s="7"/>
      <c r="F226" s="7"/>
      <c r="G226" s="7"/>
      <c r="H226" s="7"/>
      <c r="I226" s="7"/>
      <c r="J226" s="7"/>
      <c r="K226" s="7"/>
    </row>
    <row r="227">
      <c r="A227" s="7"/>
      <c r="B227" s="7"/>
      <c r="C227" s="7"/>
      <c r="D227" s="7"/>
      <c r="E227" s="7"/>
      <c r="F227" s="7"/>
      <c r="G227" s="7"/>
      <c r="H227" s="7"/>
      <c r="I227" s="7"/>
      <c r="J227" s="7"/>
      <c r="K227" s="7"/>
    </row>
    <row r="228">
      <c r="A228" s="7"/>
      <c r="B228" s="7"/>
      <c r="C228" s="7"/>
      <c r="D228" s="7"/>
      <c r="E228" s="7"/>
      <c r="F228" s="7"/>
      <c r="G228" s="7"/>
      <c r="H228" s="7"/>
      <c r="I228" s="7"/>
      <c r="J228" s="7"/>
      <c r="K228" s="7"/>
    </row>
    <row r="229">
      <c r="A229" s="7"/>
      <c r="B229" s="7"/>
      <c r="C229" s="7"/>
      <c r="D229" s="7"/>
      <c r="E229" s="7"/>
      <c r="F229" s="7"/>
      <c r="G229" s="7"/>
      <c r="H229" s="7"/>
      <c r="I229" s="7"/>
      <c r="J229" s="7"/>
      <c r="K229" s="7"/>
    </row>
    <row r="230">
      <c r="A230" s="7"/>
      <c r="B230" s="7"/>
      <c r="C230" s="7"/>
      <c r="D230" s="7"/>
      <c r="E230" s="7"/>
      <c r="F230" s="7"/>
      <c r="G230" s="7"/>
      <c r="H230" s="7"/>
      <c r="I230" s="7"/>
      <c r="J230" s="7"/>
      <c r="K230" s="7"/>
    </row>
    <row r="231">
      <c r="A231" s="7"/>
      <c r="B231" s="7"/>
      <c r="C231" s="7"/>
      <c r="D231" s="7"/>
      <c r="E231" s="7"/>
      <c r="F231" s="7"/>
      <c r="G231" s="7"/>
      <c r="H231" s="7"/>
      <c r="I231" s="7"/>
      <c r="J231" s="7"/>
      <c r="K231" s="7"/>
    </row>
    <row r="232">
      <c r="A232" s="7"/>
      <c r="B232" s="7"/>
      <c r="C232" s="7"/>
      <c r="D232" s="7"/>
      <c r="E232" s="7"/>
      <c r="F232" s="7"/>
      <c r="G232" s="7"/>
      <c r="H232" s="7"/>
      <c r="I232" s="7"/>
      <c r="J232" s="7"/>
      <c r="K232" s="7"/>
    </row>
    <row r="233">
      <c r="A233" s="7"/>
      <c r="B233" s="7"/>
      <c r="C233" s="7"/>
      <c r="D233" s="7"/>
      <c r="E233" s="7"/>
      <c r="F233" s="7"/>
      <c r="G233" s="7"/>
      <c r="H233" s="7"/>
      <c r="I233" s="7"/>
      <c r="J233" s="7"/>
      <c r="K233" s="7"/>
    </row>
    <row r="234">
      <c r="A234" s="7"/>
      <c r="B234" s="7"/>
      <c r="C234" s="7"/>
      <c r="D234" s="7"/>
      <c r="E234" s="7"/>
      <c r="F234" s="7"/>
      <c r="G234" s="7"/>
      <c r="H234" s="7"/>
      <c r="I234" s="7"/>
      <c r="J234" s="7"/>
      <c r="K234" s="7"/>
    </row>
    <row r="235">
      <c r="A235" s="7"/>
      <c r="B235" s="7"/>
      <c r="C235" s="7"/>
      <c r="D235" s="7"/>
      <c r="E235" s="7"/>
      <c r="F235" s="7"/>
      <c r="G235" s="7"/>
      <c r="H235" s="7"/>
      <c r="I235" s="7"/>
      <c r="J235" s="7"/>
      <c r="K235" s="7"/>
    </row>
    <row r="236">
      <c r="A236" s="7"/>
      <c r="B236" s="7"/>
      <c r="C236" s="7"/>
      <c r="D236" s="7"/>
      <c r="E236" s="7"/>
      <c r="F236" s="7"/>
      <c r="G236" s="7"/>
      <c r="H236" s="7"/>
      <c r="I236" s="7"/>
      <c r="J236" s="7"/>
      <c r="K236" s="7"/>
    </row>
    <row r="237">
      <c r="A237" s="7"/>
      <c r="B237" s="7"/>
      <c r="C237" s="7"/>
      <c r="D237" s="7"/>
      <c r="E237" s="7"/>
      <c r="F237" s="7"/>
      <c r="G237" s="7"/>
      <c r="H237" s="7"/>
      <c r="I237" s="7"/>
      <c r="J237" s="7"/>
      <c r="K237" s="7"/>
    </row>
    <row r="238">
      <c r="A238" s="7"/>
      <c r="B238" s="7"/>
      <c r="C238" s="7"/>
      <c r="D238" s="7"/>
      <c r="E238" s="7"/>
      <c r="F238" s="7"/>
      <c r="G238" s="7"/>
      <c r="H238" s="7"/>
      <c r="I238" s="7"/>
      <c r="J238" s="7"/>
      <c r="K238" s="7"/>
    </row>
    <row r="239">
      <c r="A239" s="7"/>
      <c r="B239" s="7"/>
      <c r="C239" s="7"/>
      <c r="D239" s="7"/>
      <c r="E239" s="7"/>
      <c r="F239" s="7"/>
      <c r="G239" s="7"/>
      <c r="H239" s="7"/>
      <c r="I239" s="7"/>
      <c r="J239" s="7"/>
      <c r="K239" s="7"/>
    </row>
    <row r="240">
      <c r="A240" s="7"/>
      <c r="B240" s="7"/>
      <c r="C240" s="7"/>
      <c r="D240" s="7"/>
      <c r="E240" s="7"/>
      <c r="F240" s="7"/>
      <c r="G240" s="7"/>
      <c r="H240" s="7"/>
      <c r="I240" s="7"/>
      <c r="J240" s="7"/>
      <c r="K240" s="7"/>
    </row>
    <row r="241">
      <c r="A241" s="7"/>
      <c r="B241" s="7"/>
      <c r="C241" s="7"/>
      <c r="D241" s="7"/>
      <c r="E241" s="7"/>
      <c r="F241" s="7"/>
      <c r="G241" s="7"/>
      <c r="H241" s="7"/>
      <c r="I241" s="7"/>
      <c r="J241" s="7"/>
      <c r="K241" s="7"/>
    </row>
    <row r="242">
      <c r="A242" s="7"/>
      <c r="B242" s="7"/>
      <c r="C242" s="7"/>
      <c r="D242" s="7"/>
      <c r="E242" s="7"/>
      <c r="F242" s="7"/>
      <c r="G242" s="7"/>
      <c r="H242" s="7"/>
      <c r="I242" s="7"/>
      <c r="J242" s="7"/>
      <c r="K242" s="7"/>
    </row>
    <row r="243">
      <c r="A243" s="7"/>
      <c r="B243" s="7"/>
      <c r="C243" s="7"/>
      <c r="D243" s="7"/>
      <c r="E243" s="7"/>
      <c r="F243" s="7"/>
      <c r="G243" s="7"/>
      <c r="H243" s="7"/>
      <c r="I243" s="7"/>
      <c r="J243" s="7"/>
      <c r="K243" s="7"/>
    </row>
    <row r="244">
      <c r="A244" s="7"/>
      <c r="B244" s="7"/>
      <c r="C244" s="7"/>
      <c r="D244" s="7"/>
      <c r="E244" s="7"/>
      <c r="F244" s="7"/>
      <c r="G244" s="7"/>
      <c r="H244" s="7"/>
      <c r="I244" s="7"/>
      <c r="J244" s="7"/>
      <c r="K244" s="7"/>
    </row>
    <row r="245">
      <c r="A245" s="7"/>
      <c r="B245" s="7"/>
      <c r="C245" s="7"/>
      <c r="D245" s="7"/>
      <c r="E245" s="7"/>
      <c r="F245" s="7"/>
      <c r="G245" s="7"/>
      <c r="H245" s="7"/>
      <c r="I245" s="7"/>
      <c r="J245" s="7"/>
      <c r="K245" s="7"/>
    </row>
    <row r="246">
      <c r="A246" s="7"/>
      <c r="B246" s="7"/>
      <c r="C246" s="7"/>
      <c r="D246" s="7"/>
      <c r="E246" s="7"/>
      <c r="F246" s="7"/>
      <c r="G246" s="7"/>
      <c r="H246" s="7"/>
      <c r="I246" s="7"/>
      <c r="J246" s="7"/>
      <c r="K246" s="7"/>
    </row>
    <row r="247">
      <c r="A247" s="7"/>
      <c r="B247" s="7"/>
      <c r="C247" s="7"/>
      <c r="D247" s="7"/>
      <c r="E247" s="7"/>
      <c r="F247" s="7"/>
      <c r="G247" s="7"/>
      <c r="H247" s="7"/>
      <c r="I247" s="7"/>
      <c r="J247" s="7"/>
      <c r="K247" s="7"/>
    </row>
    <row r="248">
      <c r="A248" s="7"/>
      <c r="B248" s="7"/>
      <c r="C248" s="7"/>
      <c r="D248" s="7"/>
      <c r="E248" s="7"/>
      <c r="F248" s="7"/>
      <c r="G248" s="7"/>
      <c r="H248" s="7"/>
      <c r="I248" s="7"/>
      <c r="J248" s="7"/>
      <c r="K248" s="7"/>
    </row>
    <row r="249">
      <c r="A249" s="7"/>
      <c r="B249" s="7"/>
      <c r="C249" s="7"/>
      <c r="D249" s="7"/>
      <c r="E249" s="7"/>
      <c r="F249" s="7"/>
      <c r="G249" s="7"/>
      <c r="H249" s="7"/>
      <c r="I249" s="7"/>
      <c r="J249" s="7"/>
      <c r="K249" s="7"/>
    </row>
    <row r="250">
      <c r="A250" s="7"/>
      <c r="B250" s="7"/>
      <c r="C250" s="7"/>
      <c r="D250" s="7"/>
      <c r="E250" s="7"/>
      <c r="F250" s="7"/>
      <c r="G250" s="7"/>
      <c r="H250" s="7"/>
      <c r="I250" s="7"/>
      <c r="J250" s="7"/>
      <c r="K250" s="7"/>
    </row>
    <row r="251">
      <c r="A251" s="7"/>
      <c r="B251" s="7"/>
      <c r="C251" s="7"/>
      <c r="D251" s="7"/>
      <c r="E251" s="7"/>
      <c r="F251" s="7"/>
      <c r="G251" s="7"/>
      <c r="H251" s="7"/>
      <c r="I251" s="7"/>
      <c r="J251" s="7"/>
      <c r="K251" s="7"/>
    </row>
    <row r="252">
      <c r="A252" s="7"/>
      <c r="B252" s="7"/>
      <c r="C252" s="7"/>
      <c r="D252" s="7"/>
      <c r="E252" s="7"/>
      <c r="F252" s="7"/>
      <c r="G252" s="7"/>
      <c r="H252" s="7"/>
      <c r="I252" s="7"/>
      <c r="J252" s="7"/>
      <c r="K252" s="7"/>
    </row>
    <row r="253">
      <c r="A253" s="7"/>
      <c r="B253" s="7"/>
      <c r="C253" s="7"/>
      <c r="D253" s="7"/>
      <c r="E253" s="7"/>
      <c r="F253" s="7"/>
      <c r="G253" s="7"/>
      <c r="H253" s="7"/>
      <c r="I253" s="7"/>
      <c r="J253" s="7"/>
      <c r="K253" s="7"/>
    </row>
    <row r="254">
      <c r="A254" s="7"/>
      <c r="B254" s="7"/>
      <c r="C254" s="7"/>
      <c r="D254" s="7"/>
      <c r="E254" s="7"/>
      <c r="F254" s="7"/>
      <c r="G254" s="7"/>
      <c r="H254" s="7"/>
      <c r="I254" s="7"/>
      <c r="J254" s="7"/>
      <c r="K254" s="7"/>
    </row>
    <row r="255">
      <c r="A255" s="7"/>
      <c r="B255" s="7"/>
      <c r="C255" s="7"/>
      <c r="D255" s="7"/>
      <c r="E255" s="7"/>
      <c r="F255" s="7"/>
      <c r="G255" s="7"/>
      <c r="H255" s="7"/>
      <c r="I255" s="7"/>
      <c r="J255" s="7"/>
      <c r="K255" s="7"/>
    </row>
    <row r="256">
      <c r="A256" s="7"/>
      <c r="B256" s="7"/>
      <c r="C256" s="7"/>
      <c r="D256" s="7"/>
      <c r="E256" s="7"/>
      <c r="F256" s="7"/>
      <c r="G256" s="7"/>
      <c r="H256" s="7"/>
      <c r="I256" s="7"/>
      <c r="J256" s="7"/>
      <c r="K256" s="7"/>
    </row>
    <row r="257">
      <c r="A257" s="7"/>
      <c r="B257" s="7"/>
      <c r="C257" s="7"/>
      <c r="D257" s="7"/>
      <c r="E257" s="7"/>
      <c r="F257" s="7"/>
      <c r="G257" s="7"/>
      <c r="H257" s="7"/>
      <c r="I257" s="7"/>
      <c r="J257" s="7"/>
      <c r="K257" s="7"/>
    </row>
    <row r="258">
      <c r="A258" s="7"/>
      <c r="B258" s="7"/>
      <c r="C258" s="7"/>
      <c r="D258" s="7"/>
      <c r="E258" s="7"/>
      <c r="F258" s="7"/>
      <c r="G258" s="7"/>
      <c r="H258" s="7"/>
      <c r="I258" s="7"/>
      <c r="J258" s="7"/>
      <c r="K258" s="7"/>
    </row>
    <row r="259">
      <c r="A259" s="7"/>
      <c r="B259" s="7"/>
      <c r="C259" s="7"/>
      <c r="D259" s="7"/>
      <c r="E259" s="7"/>
      <c r="F259" s="7"/>
      <c r="G259" s="7"/>
      <c r="H259" s="7"/>
      <c r="I259" s="7"/>
      <c r="J259" s="7"/>
      <c r="K259" s="7"/>
    </row>
    <row r="260">
      <c r="A260" s="7"/>
      <c r="B260" s="7"/>
      <c r="C260" s="7"/>
      <c r="D260" s="7"/>
      <c r="E260" s="7"/>
      <c r="F260" s="7"/>
      <c r="G260" s="7"/>
      <c r="H260" s="7"/>
      <c r="I260" s="7"/>
      <c r="J260" s="7"/>
      <c r="K260" s="7"/>
    </row>
    <row r="261">
      <c r="A261" s="7"/>
      <c r="B261" s="7"/>
      <c r="C261" s="7"/>
      <c r="D261" s="7"/>
      <c r="E261" s="7"/>
      <c r="F261" s="7"/>
      <c r="G261" s="7"/>
      <c r="H261" s="7"/>
      <c r="I261" s="7"/>
      <c r="J261" s="7"/>
      <c r="K261" s="7"/>
    </row>
    <row r="262">
      <c r="A262" s="7"/>
      <c r="B262" s="7"/>
      <c r="C262" s="7"/>
      <c r="D262" s="7"/>
      <c r="E262" s="7"/>
      <c r="F262" s="7"/>
      <c r="G262" s="7"/>
      <c r="H262" s="7"/>
      <c r="I262" s="7"/>
      <c r="J262" s="7"/>
      <c r="K262" s="7"/>
    </row>
    <row r="263">
      <c r="A263" s="7"/>
      <c r="B263" s="7"/>
      <c r="C263" s="7"/>
      <c r="D263" s="7"/>
      <c r="E263" s="7"/>
      <c r="F263" s="7"/>
      <c r="G263" s="7"/>
      <c r="H263" s="7"/>
      <c r="I263" s="7"/>
      <c r="J263" s="7"/>
      <c r="K263" s="7"/>
    </row>
    <row r="264">
      <c r="A264" s="7"/>
      <c r="B264" s="7"/>
      <c r="C264" s="7"/>
      <c r="D264" s="7"/>
      <c r="E264" s="7"/>
      <c r="F264" s="7"/>
      <c r="G264" s="7"/>
      <c r="H264" s="7"/>
      <c r="I264" s="7"/>
      <c r="J264" s="7"/>
      <c r="K264" s="7"/>
    </row>
    <row r="265">
      <c r="A265" s="7"/>
      <c r="B265" s="7"/>
      <c r="C265" s="7"/>
      <c r="D265" s="7"/>
      <c r="E265" s="7"/>
      <c r="F265" s="7"/>
      <c r="G265" s="7"/>
      <c r="H265" s="7"/>
      <c r="I265" s="7"/>
      <c r="J265" s="7"/>
      <c r="K265" s="7"/>
    </row>
    <row r="266">
      <c r="A266" s="7"/>
      <c r="B266" s="7"/>
      <c r="C266" s="7"/>
      <c r="D266" s="7"/>
      <c r="E266" s="7"/>
      <c r="F266" s="7"/>
      <c r="G266" s="7"/>
      <c r="H266" s="7"/>
      <c r="I266" s="7"/>
      <c r="J266" s="7"/>
      <c r="K266" s="7"/>
    </row>
    <row r="267">
      <c r="A267" s="7"/>
      <c r="B267" s="7"/>
      <c r="C267" s="7"/>
      <c r="D267" s="7"/>
      <c r="E267" s="7"/>
      <c r="F267" s="7"/>
      <c r="G267" s="7"/>
      <c r="H267" s="7"/>
      <c r="I267" s="7"/>
      <c r="J267" s="7"/>
      <c r="K267" s="7"/>
    </row>
    <row r="268">
      <c r="A268" s="7"/>
      <c r="B268" s="7"/>
      <c r="C268" s="7"/>
      <c r="D268" s="7"/>
      <c r="E268" s="7"/>
      <c r="F268" s="7"/>
      <c r="G268" s="7"/>
      <c r="H268" s="7"/>
      <c r="I268" s="7"/>
      <c r="J268" s="7"/>
      <c r="K268" s="7"/>
    </row>
    <row r="269">
      <c r="A269" s="7"/>
      <c r="B269" s="7"/>
      <c r="C269" s="7"/>
      <c r="D269" s="7"/>
      <c r="E269" s="7"/>
      <c r="F269" s="7"/>
      <c r="G269" s="7"/>
      <c r="H269" s="7"/>
      <c r="I269" s="7"/>
      <c r="J269" s="7"/>
      <c r="K269" s="7"/>
    </row>
    <row r="270">
      <c r="A270" s="7"/>
      <c r="B270" s="7"/>
      <c r="C270" s="7"/>
      <c r="D270" s="7"/>
      <c r="E270" s="7"/>
      <c r="F270" s="7"/>
      <c r="G270" s="7"/>
      <c r="H270" s="7"/>
      <c r="I270" s="7"/>
      <c r="J270" s="7"/>
      <c r="K270" s="7"/>
    </row>
    <row r="271">
      <c r="A271" s="7"/>
      <c r="B271" s="7"/>
      <c r="C271" s="7"/>
      <c r="D271" s="7"/>
      <c r="E271" s="7"/>
      <c r="F271" s="7"/>
      <c r="G271" s="7"/>
      <c r="H271" s="7"/>
      <c r="I271" s="7"/>
      <c r="J271" s="7"/>
      <c r="K271" s="7"/>
    </row>
    <row r="272">
      <c r="A272" s="7"/>
      <c r="B272" s="7"/>
      <c r="C272" s="7"/>
      <c r="D272" s="7"/>
      <c r="E272" s="7"/>
      <c r="F272" s="7"/>
      <c r="G272" s="7"/>
      <c r="H272" s="7"/>
      <c r="I272" s="7"/>
      <c r="J272" s="7"/>
      <c r="K272" s="7"/>
    </row>
    <row r="273">
      <c r="A273" s="7"/>
      <c r="B273" s="7"/>
      <c r="C273" s="7"/>
      <c r="D273" s="7"/>
      <c r="E273" s="7"/>
      <c r="F273" s="7"/>
      <c r="G273" s="7"/>
      <c r="H273" s="7"/>
      <c r="I273" s="7"/>
      <c r="J273" s="7"/>
      <c r="K273" s="7"/>
    </row>
    <row r="274">
      <c r="A274" s="7"/>
      <c r="B274" s="7"/>
      <c r="C274" s="7"/>
      <c r="D274" s="7"/>
      <c r="E274" s="7"/>
      <c r="F274" s="7"/>
      <c r="G274" s="7"/>
      <c r="H274" s="7"/>
      <c r="I274" s="7"/>
      <c r="J274" s="7"/>
      <c r="K274" s="7"/>
    </row>
    <row r="275">
      <c r="A275" s="7"/>
      <c r="B275" s="7"/>
      <c r="C275" s="7"/>
      <c r="D275" s="7"/>
      <c r="E275" s="7"/>
      <c r="F275" s="7"/>
      <c r="G275" s="7"/>
      <c r="H275" s="7"/>
      <c r="I275" s="7"/>
      <c r="J275" s="7"/>
      <c r="K275" s="7"/>
    </row>
    <row r="276">
      <c r="A276" s="7"/>
      <c r="B276" s="7"/>
      <c r="C276" s="7"/>
      <c r="D276" s="7"/>
      <c r="E276" s="7"/>
      <c r="F276" s="7"/>
      <c r="G276" s="7"/>
      <c r="H276" s="7"/>
      <c r="I276" s="7"/>
      <c r="J276" s="7"/>
      <c r="K276" s="7"/>
    </row>
    <row r="277">
      <c r="A277" s="7"/>
      <c r="B277" s="7"/>
      <c r="C277" s="7"/>
      <c r="D277" s="7"/>
      <c r="E277" s="7"/>
      <c r="F277" s="7"/>
      <c r="G277" s="7"/>
      <c r="H277" s="7"/>
      <c r="I277" s="7"/>
      <c r="J277" s="7"/>
      <c r="K277" s="7"/>
    </row>
    <row r="278">
      <c r="A278" s="7"/>
      <c r="B278" s="7"/>
      <c r="C278" s="7"/>
      <c r="D278" s="7"/>
      <c r="E278" s="7"/>
      <c r="F278" s="7"/>
      <c r="G278" s="7"/>
      <c r="H278" s="7"/>
      <c r="I278" s="7"/>
      <c r="J278" s="7"/>
      <c r="K278" s="7"/>
    </row>
    <row r="279">
      <c r="A279" s="7"/>
      <c r="B279" s="7"/>
      <c r="C279" s="7"/>
      <c r="D279" s="7"/>
      <c r="E279" s="7"/>
      <c r="F279" s="7"/>
      <c r="G279" s="7"/>
      <c r="H279" s="7"/>
      <c r="I279" s="7"/>
      <c r="J279" s="7"/>
      <c r="K279" s="7"/>
    </row>
    <row r="280">
      <c r="A280" s="7"/>
      <c r="B280" s="7"/>
      <c r="C280" s="7"/>
      <c r="D280" s="7"/>
      <c r="E280" s="7"/>
      <c r="F280" s="7"/>
      <c r="G280" s="7"/>
      <c r="H280" s="7"/>
      <c r="I280" s="7"/>
      <c r="J280" s="7"/>
      <c r="K280" s="7"/>
    </row>
    <row r="281">
      <c r="A281" s="7"/>
      <c r="B281" s="7"/>
      <c r="C281" s="7"/>
      <c r="D281" s="7"/>
      <c r="E281" s="7"/>
      <c r="F281" s="7"/>
      <c r="G281" s="7"/>
      <c r="H281" s="7"/>
      <c r="I281" s="7"/>
      <c r="J281" s="7"/>
      <c r="K281" s="7"/>
    </row>
    <row r="282">
      <c r="A282" s="7"/>
      <c r="B282" s="7"/>
      <c r="C282" s="7"/>
      <c r="D282" s="7"/>
      <c r="E282" s="7"/>
      <c r="F282" s="7"/>
      <c r="G282" s="7"/>
      <c r="H282" s="7"/>
      <c r="I282" s="7"/>
      <c r="J282" s="7"/>
      <c r="K282" s="7"/>
    </row>
    <row r="283">
      <c r="A283" s="7"/>
      <c r="B283" s="7"/>
      <c r="C283" s="7"/>
      <c r="D283" s="7"/>
      <c r="E283" s="7"/>
      <c r="F283" s="7"/>
      <c r="G283" s="7"/>
      <c r="H283" s="7"/>
      <c r="I283" s="7"/>
      <c r="J283" s="7"/>
      <c r="K283" s="7"/>
    </row>
    <row r="284">
      <c r="A284" s="7"/>
      <c r="B284" s="7"/>
      <c r="C284" s="7"/>
      <c r="D284" s="7"/>
      <c r="E284" s="7"/>
      <c r="F284" s="7"/>
      <c r="G284" s="7"/>
      <c r="H284" s="7"/>
      <c r="I284" s="7"/>
      <c r="J284" s="7"/>
      <c r="K284" s="7"/>
    </row>
    <row r="285">
      <c r="A285" s="7"/>
      <c r="B285" s="7"/>
      <c r="C285" s="7"/>
      <c r="D285" s="7"/>
      <c r="E285" s="7"/>
      <c r="F285" s="7"/>
      <c r="G285" s="7"/>
      <c r="H285" s="7"/>
      <c r="I285" s="7"/>
      <c r="J285" s="7"/>
      <c r="K285" s="7"/>
    </row>
    <row r="286">
      <c r="A286" s="7"/>
      <c r="B286" s="7"/>
      <c r="C286" s="7"/>
      <c r="D286" s="7"/>
      <c r="E286" s="7"/>
      <c r="F286" s="7"/>
      <c r="G286" s="7"/>
      <c r="H286" s="7"/>
      <c r="I286" s="7"/>
      <c r="J286" s="7"/>
      <c r="K286" s="7"/>
    </row>
    <row r="287">
      <c r="A287" s="7"/>
      <c r="B287" s="7"/>
      <c r="C287" s="7"/>
      <c r="D287" s="7"/>
      <c r="E287" s="7"/>
      <c r="F287" s="7"/>
      <c r="G287" s="7"/>
      <c r="H287" s="7"/>
      <c r="I287" s="7"/>
      <c r="J287" s="7"/>
      <c r="K287" s="7"/>
    </row>
    <row r="288">
      <c r="A288" s="7"/>
      <c r="B288" s="7"/>
      <c r="C288" s="7"/>
      <c r="D288" s="7"/>
      <c r="E288" s="7"/>
      <c r="F288" s="7"/>
      <c r="G288" s="7"/>
      <c r="H288" s="7"/>
      <c r="I288" s="7"/>
      <c r="J288" s="7"/>
      <c r="K288" s="7"/>
    </row>
    <row r="289">
      <c r="A289" s="7"/>
      <c r="B289" s="7"/>
      <c r="C289" s="7"/>
      <c r="D289" s="7"/>
      <c r="E289" s="7"/>
      <c r="F289" s="7"/>
      <c r="G289" s="7"/>
      <c r="H289" s="7"/>
      <c r="I289" s="7"/>
      <c r="J289" s="7"/>
      <c r="K289" s="7"/>
    </row>
    <row r="290">
      <c r="A290" s="7"/>
      <c r="B290" s="7"/>
      <c r="C290" s="7"/>
      <c r="D290" s="7"/>
      <c r="E290" s="7"/>
      <c r="F290" s="7"/>
      <c r="G290" s="7"/>
      <c r="H290" s="7"/>
      <c r="I290" s="7"/>
      <c r="J290" s="7"/>
      <c r="K290" s="7"/>
    </row>
    <row r="291">
      <c r="A291" s="7"/>
      <c r="B291" s="7"/>
      <c r="C291" s="7"/>
      <c r="D291" s="7"/>
      <c r="E291" s="7"/>
      <c r="F291" s="7"/>
      <c r="G291" s="7"/>
      <c r="H291" s="7"/>
      <c r="I291" s="7"/>
      <c r="J291" s="7"/>
      <c r="K291" s="7"/>
    </row>
    <row r="292">
      <c r="A292" s="7"/>
      <c r="B292" s="7"/>
      <c r="C292" s="7"/>
      <c r="D292" s="7"/>
      <c r="E292" s="7"/>
      <c r="F292" s="7"/>
      <c r="G292" s="7"/>
      <c r="H292" s="7"/>
      <c r="I292" s="7"/>
      <c r="J292" s="7"/>
      <c r="K292" s="7"/>
    </row>
    <row r="293">
      <c r="A293" s="7"/>
      <c r="B293" s="7"/>
      <c r="C293" s="7"/>
      <c r="D293" s="7"/>
      <c r="E293" s="7"/>
      <c r="F293" s="7"/>
      <c r="G293" s="7"/>
      <c r="H293" s="7"/>
      <c r="I293" s="7"/>
      <c r="J293" s="7"/>
      <c r="K293" s="7"/>
    </row>
    <row r="294">
      <c r="A294" s="7"/>
      <c r="B294" s="7"/>
      <c r="C294" s="7"/>
      <c r="D294" s="7"/>
      <c r="E294" s="7"/>
      <c r="F294" s="7"/>
      <c r="G294" s="7"/>
      <c r="H294" s="7"/>
      <c r="I294" s="7"/>
      <c r="J294" s="7"/>
      <c r="K294" s="7"/>
    </row>
    <row r="295">
      <c r="A295" s="7"/>
      <c r="B295" s="7"/>
      <c r="C295" s="7"/>
      <c r="D295" s="7"/>
      <c r="E295" s="7"/>
      <c r="F295" s="7"/>
      <c r="G295" s="7"/>
      <c r="H295" s="7"/>
      <c r="I295" s="7"/>
      <c r="J295" s="7"/>
      <c r="K295" s="7"/>
    </row>
    <row r="296">
      <c r="A296" s="7"/>
      <c r="B296" s="7"/>
      <c r="C296" s="7"/>
      <c r="D296" s="7"/>
      <c r="E296" s="7"/>
      <c r="F296" s="7"/>
      <c r="G296" s="7"/>
      <c r="H296" s="7"/>
      <c r="I296" s="7"/>
      <c r="J296" s="7"/>
      <c r="K296" s="7"/>
    </row>
    <row r="297">
      <c r="A297" s="7"/>
      <c r="B297" s="7"/>
      <c r="C297" s="7"/>
      <c r="D297" s="7"/>
      <c r="E297" s="7"/>
      <c r="F297" s="7"/>
      <c r="G297" s="7"/>
      <c r="H297" s="7"/>
      <c r="I297" s="7"/>
      <c r="J297" s="7"/>
      <c r="K297" s="7"/>
    </row>
    <row r="298">
      <c r="A298" s="7"/>
      <c r="B298" s="7"/>
      <c r="C298" s="7"/>
      <c r="D298" s="7"/>
      <c r="E298" s="7"/>
      <c r="F298" s="7"/>
      <c r="G298" s="7"/>
      <c r="H298" s="7"/>
      <c r="I298" s="7"/>
      <c r="J298" s="7"/>
      <c r="K298" s="7"/>
    </row>
    <row r="299">
      <c r="A299" s="7"/>
      <c r="B299" s="7"/>
      <c r="C299" s="7"/>
      <c r="D299" s="7"/>
      <c r="E299" s="7"/>
      <c r="F299" s="7"/>
      <c r="G299" s="7"/>
      <c r="H299" s="7"/>
      <c r="I299" s="7"/>
      <c r="J299" s="7"/>
      <c r="K299" s="7"/>
    </row>
    <row r="300">
      <c r="A300" s="7"/>
      <c r="B300" s="7"/>
      <c r="C300" s="7"/>
      <c r="D300" s="7"/>
      <c r="E300" s="7"/>
      <c r="F300" s="7"/>
      <c r="G300" s="7"/>
      <c r="H300" s="7"/>
      <c r="I300" s="7"/>
      <c r="J300" s="7"/>
      <c r="K300" s="7"/>
    </row>
    <row r="301">
      <c r="A301" s="7"/>
      <c r="B301" s="7"/>
      <c r="C301" s="7"/>
      <c r="D301" s="7"/>
      <c r="E301" s="7"/>
      <c r="F301" s="7"/>
      <c r="G301" s="7"/>
      <c r="H301" s="7"/>
      <c r="I301" s="7"/>
      <c r="J301" s="7"/>
      <c r="K301" s="7"/>
    </row>
    <row r="302">
      <c r="A302" s="7"/>
      <c r="B302" s="7"/>
      <c r="C302" s="7"/>
      <c r="D302" s="7"/>
      <c r="E302" s="7"/>
      <c r="F302" s="7"/>
      <c r="G302" s="7"/>
      <c r="H302" s="7"/>
      <c r="I302" s="7"/>
      <c r="J302" s="7"/>
      <c r="K302" s="7"/>
    </row>
    <row r="303">
      <c r="A303" s="7"/>
      <c r="B303" s="7"/>
      <c r="C303" s="7"/>
      <c r="D303" s="7"/>
      <c r="E303" s="7"/>
      <c r="F303" s="7"/>
      <c r="G303" s="7"/>
      <c r="H303" s="7"/>
      <c r="I303" s="7"/>
      <c r="J303" s="7"/>
      <c r="K303" s="7"/>
    </row>
    <row r="304">
      <c r="A304" s="7"/>
      <c r="B304" s="7"/>
      <c r="C304" s="7"/>
      <c r="D304" s="7"/>
      <c r="E304" s="7"/>
      <c r="F304" s="7"/>
      <c r="G304" s="7"/>
      <c r="H304" s="7"/>
      <c r="I304" s="7"/>
      <c r="J304" s="7"/>
      <c r="K304" s="7"/>
    </row>
    <row r="305">
      <c r="A305" s="7"/>
      <c r="B305" s="7"/>
      <c r="C305" s="7"/>
      <c r="D305" s="7"/>
      <c r="E305" s="7"/>
      <c r="F305" s="7"/>
      <c r="G305" s="7"/>
      <c r="H305" s="7"/>
      <c r="I305" s="7"/>
      <c r="J305" s="7"/>
      <c r="K305" s="7"/>
    </row>
    <row r="306">
      <c r="A306" s="7"/>
      <c r="B306" s="7"/>
      <c r="C306" s="7"/>
      <c r="D306" s="7"/>
      <c r="E306" s="7"/>
      <c r="F306" s="7"/>
      <c r="G306" s="7"/>
      <c r="H306" s="7"/>
      <c r="I306" s="7"/>
      <c r="J306" s="7"/>
      <c r="K306" s="7"/>
    </row>
    <row r="307">
      <c r="A307" s="7"/>
      <c r="B307" s="7"/>
      <c r="C307" s="7"/>
      <c r="D307" s="7"/>
      <c r="E307" s="7"/>
      <c r="F307" s="7"/>
      <c r="G307" s="7"/>
      <c r="H307" s="7"/>
      <c r="I307" s="7"/>
      <c r="J307" s="7"/>
      <c r="K307" s="7"/>
    </row>
    <row r="308">
      <c r="A308" s="7"/>
      <c r="B308" s="7"/>
      <c r="C308" s="7"/>
      <c r="D308" s="7"/>
      <c r="E308" s="7"/>
      <c r="F308" s="7"/>
      <c r="G308" s="7"/>
      <c r="H308" s="7"/>
      <c r="I308" s="7"/>
      <c r="J308" s="7"/>
      <c r="K308" s="7"/>
    </row>
    <row r="309">
      <c r="A309" s="7"/>
      <c r="B309" s="7"/>
      <c r="C309" s="7"/>
      <c r="D309" s="7"/>
      <c r="E309" s="7"/>
      <c r="F309" s="7"/>
      <c r="G309" s="7"/>
      <c r="H309" s="7"/>
      <c r="I309" s="7"/>
      <c r="J309" s="7"/>
      <c r="K309" s="7"/>
    </row>
    <row r="310">
      <c r="A310" s="7"/>
      <c r="B310" s="7"/>
      <c r="C310" s="7"/>
      <c r="D310" s="7"/>
      <c r="E310" s="7"/>
      <c r="F310" s="7"/>
      <c r="G310" s="7"/>
      <c r="H310" s="7"/>
      <c r="I310" s="7"/>
      <c r="J310" s="7"/>
      <c r="K310" s="7"/>
    </row>
    <row r="311">
      <c r="A311" s="7"/>
      <c r="B311" s="7"/>
      <c r="C311" s="7"/>
      <c r="D311" s="7"/>
      <c r="E311" s="7"/>
      <c r="F311" s="7"/>
      <c r="G311" s="7"/>
      <c r="H311" s="7"/>
      <c r="I311" s="7"/>
      <c r="J311" s="7"/>
      <c r="K311" s="7"/>
    </row>
    <row r="312">
      <c r="A312" s="7"/>
      <c r="B312" s="7"/>
      <c r="C312" s="7"/>
      <c r="D312" s="7"/>
      <c r="E312" s="7"/>
      <c r="F312" s="7"/>
      <c r="G312" s="7"/>
      <c r="H312" s="7"/>
      <c r="I312" s="7"/>
      <c r="J312" s="7"/>
      <c r="K312" s="7"/>
    </row>
    <row r="313">
      <c r="A313" s="7"/>
      <c r="B313" s="7"/>
      <c r="C313" s="7"/>
      <c r="D313" s="7"/>
      <c r="E313" s="7"/>
      <c r="F313" s="7"/>
      <c r="G313" s="7"/>
      <c r="H313" s="7"/>
      <c r="I313" s="7"/>
      <c r="J313" s="7"/>
      <c r="K313" s="7"/>
    </row>
    <row r="314">
      <c r="A314" s="7"/>
      <c r="B314" s="7"/>
      <c r="C314" s="7"/>
      <c r="D314" s="7"/>
      <c r="E314" s="7"/>
      <c r="F314" s="7"/>
      <c r="G314" s="7"/>
      <c r="H314" s="7"/>
      <c r="I314" s="7"/>
      <c r="J314" s="7"/>
      <c r="K314" s="7"/>
    </row>
    <row r="315">
      <c r="A315" s="7"/>
      <c r="B315" s="7"/>
      <c r="C315" s="7"/>
      <c r="D315" s="7"/>
      <c r="E315" s="7"/>
      <c r="F315" s="7"/>
      <c r="G315" s="7"/>
      <c r="H315" s="7"/>
      <c r="I315" s="7"/>
      <c r="J315" s="7"/>
      <c r="K315" s="7"/>
    </row>
    <row r="316">
      <c r="A316" s="7"/>
      <c r="B316" s="7"/>
      <c r="C316" s="7"/>
      <c r="D316" s="7"/>
      <c r="E316" s="7"/>
      <c r="F316" s="7"/>
      <c r="G316" s="7"/>
      <c r="H316" s="7"/>
      <c r="I316" s="7"/>
      <c r="J316" s="7"/>
      <c r="K316" s="7"/>
    </row>
    <row r="317">
      <c r="A317" s="7"/>
      <c r="B317" s="7"/>
      <c r="C317" s="7"/>
      <c r="D317" s="7"/>
      <c r="E317" s="7"/>
      <c r="F317" s="7"/>
      <c r="G317" s="7"/>
      <c r="H317" s="7"/>
      <c r="I317" s="7"/>
      <c r="J317" s="7"/>
      <c r="K317" s="7"/>
    </row>
    <row r="318">
      <c r="A318" s="7"/>
      <c r="B318" s="7"/>
      <c r="C318" s="7"/>
      <c r="D318" s="7"/>
      <c r="E318" s="7"/>
      <c r="F318" s="7"/>
      <c r="G318" s="7"/>
      <c r="H318" s="7"/>
      <c r="I318" s="7"/>
      <c r="J318" s="7"/>
      <c r="K318" s="7"/>
    </row>
    <row r="319">
      <c r="A319" s="7"/>
      <c r="B319" s="7"/>
      <c r="C319" s="7"/>
      <c r="D319" s="7"/>
      <c r="E319" s="7"/>
      <c r="F319" s="7"/>
      <c r="G319" s="7"/>
      <c r="H319" s="7"/>
      <c r="I319" s="7"/>
      <c r="J319" s="7"/>
      <c r="K319" s="7"/>
    </row>
    <row r="320">
      <c r="A320" s="7"/>
      <c r="B320" s="7"/>
      <c r="C320" s="7"/>
      <c r="D320" s="7"/>
      <c r="E320" s="7"/>
      <c r="F320" s="7"/>
      <c r="G320" s="7"/>
      <c r="H320" s="7"/>
      <c r="I320" s="7"/>
      <c r="J320" s="7"/>
      <c r="K320" s="7"/>
    </row>
    <row r="321">
      <c r="A321" s="7"/>
      <c r="B321" s="7"/>
      <c r="C321" s="7"/>
      <c r="D321" s="7"/>
      <c r="E321" s="7"/>
      <c r="F321" s="7"/>
      <c r="G321" s="7"/>
      <c r="H321" s="7"/>
      <c r="I321" s="7"/>
      <c r="J321" s="7"/>
      <c r="K321" s="7"/>
    </row>
    <row r="322">
      <c r="A322" s="7"/>
      <c r="B322" s="7"/>
      <c r="C322" s="7"/>
      <c r="D322" s="7"/>
      <c r="E322" s="7"/>
      <c r="F322" s="7"/>
      <c r="G322" s="7"/>
      <c r="H322" s="7"/>
      <c r="I322" s="7"/>
      <c r="J322" s="7"/>
      <c r="K322" s="7"/>
    </row>
    <row r="323">
      <c r="A323" s="7"/>
      <c r="B323" s="7"/>
      <c r="C323" s="7"/>
      <c r="D323" s="7"/>
      <c r="E323" s="7"/>
      <c r="F323" s="7"/>
      <c r="G323" s="7"/>
      <c r="H323" s="7"/>
      <c r="I323" s="7"/>
      <c r="J323" s="7"/>
      <c r="K323" s="7"/>
    </row>
    <row r="324">
      <c r="A324" s="7"/>
      <c r="B324" s="7"/>
      <c r="C324" s="7"/>
      <c r="D324" s="7"/>
      <c r="E324" s="7"/>
      <c r="F324" s="7"/>
      <c r="G324" s="7"/>
      <c r="H324" s="7"/>
      <c r="I324" s="7"/>
      <c r="J324" s="7"/>
      <c r="K324" s="7"/>
    </row>
    <row r="325">
      <c r="A325" s="7"/>
      <c r="B325" s="7"/>
      <c r="C325" s="7"/>
      <c r="D325" s="7"/>
      <c r="E325" s="7"/>
      <c r="F325" s="7"/>
      <c r="G325" s="7"/>
      <c r="H325" s="7"/>
      <c r="I325" s="7"/>
      <c r="J325" s="7"/>
      <c r="K325" s="7"/>
    </row>
    <row r="326">
      <c r="A326" s="7"/>
      <c r="B326" s="7"/>
      <c r="C326" s="7"/>
      <c r="D326" s="7"/>
      <c r="E326" s="7"/>
      <c r="F326" s="7"/>
      <c r="G326" s="7"/>
      <c r="H326" s="7"/>
      <c r="I326" s="7"/>
      <c r="J326" s="7"/>
      <c r="K326" s="7"/>
    </row>
    <row r="327">
      <c r="A327" s="7"/>
      <c r="B327" s="7"/>
      <c r="C327" s="7"/>
      <c r="D327" s="7"/>
      <c r="E327" s="7"/>
      <c r="F327" s="7"/>
      <c r="G327" s="7"/>
      <c r="H327" s="7"/>
      <c r="I327" s="7"/>
      <c r="J327" s="7"/>
      <c r="K327" s="7"/>
    </row>
    <row r="328">
      <c r="A328" s="7"/>
      <c r="B328" s="7"/>
      <c r="C328" s="7"/>
      <c r="D328" s="7"/>
      <c r="E328" s="7"/>
      <c r="F328" s="7"/>
      <c r="G328" s="7"/>
      <c r="H328" s="7"/>
      <c r="I328" s="7"/>
      <c r="J328" s="7"/>
      <c r="K328" s="7"/>
    </row>
    <row r="329">
      <c r="A329" s="7"/>
      <c r="B329" s="7"/>
      <c r="C329" s="7"/>
      <c r="D329" s="7"/>
      <c r="E329" s="7"/>
      <c r="F329" s="7"/>
      <c r="G329" s="7"/>
      <c r="H329" s="7"/>
      <c r="I329" s="7"/>
      <c r="J329" s="7"/>
      <c r="K329" s="7"/>
    </row>
    <row r="330">
      <c r="A330" s="7"/>
      <c r="B330" s="7"/>
      <c r="C330" s="7"/>
      <c r="D330" s="7"/>
      <c r="E330" s="7"/>
      <c r="F330" s="7"/>
      <c r="G330" s="7"/>
      <c r="H330" s="7"/>
      <c r="I330" s="7"/>
      <c r="J330" s="7"/>
      <c r="K330" s="7"/>
    </row>
    <row r="331">
      <c r="A331" s="7"/>
      <c r="B331" s="7"/>
      <c r="C331" s="7"/>
      <c r="D331" s="7"/>
      <c r="E331" s="7"/>
      <c r="F331" s="7"/>
      <c r="G331" s="7"/>
      <c r="H331" s="7"/>
      <c r="I331" s="7"/>
      <c r="J331" s="7"/>
      <c r="K331" s="7"/>
    </row>
    <row r="332">
      <c r="A332" s="7"/>
      <c r="B332" s="7"/>
      <c r="C332" s="7"/>
      <c r="D332" s="7"/>
      <c r="E332" s="7"/>
      <c r="F332" s="7"/>
      <c r="G332" s="7"/>
      <c r="H332" s="7"/>
      <c r="I332" s="7"/>
      <c r="J332" s="7"/>
      <c r="K332" s="7"/>
    </row>
    <row r="333">
      <c r="A333" s="7"/>
      <c r="B333" s="7"/>
      <c r="C333" s="7"/>
      <c r="D333" s="7"/>
      <c r="E333" s="7"/>
      <c r="F333" s="7"/>
      <c r="G333" s="7"/>
      <c r="H333" s="7"/>
      <c r="I333" s="7"/>
      <c r="J333" s="7"/>
      <c r="K333" s="7"/>
    </row>
    <row r="334">
      <c r="A334" s="7"/>
      <c r="B334" s="7"/>
      <c r="C334" s="7"/>
      <c r="D334" s="7"/>
      <c r="E334" s="7"/>
      <c r="F334" s="7"/>
      <c r="G334" s="7"/>
      <c r="H334" s="7"/>
      <c r="I334" s="7"/>
      <c r="J334" s="7"/>
      <c r="K334" s="7"/>
    </row>
    <row r="335">
      <c r="A335" s="7"/>
      <c r="B335" s="7"/>
      <c r="C335" s="7"/>
      <c r="D335" s="7"/>
      <c r="E335" s="7"/>
      <c r="F335" s="7"/>
      <c r="G335" s="7"/>
      <c r="H335" s="7"/>
      <c r="I335" s="7"/>
      <c r="J335" s="7"/>
      <c r="K335" s="7"/>
    </row>
    <row r="336">
      <c r="A336" s="7"/>
      <c r="B336" s="7"/>
      <c r="C336" s="7"/>
      <c r="D336" s="7"/>
      <c r="E336" s="7"/>
      <c r="F336" s="7"/>
      <c r="G336" s="7"/>
      <c r="H336" s="7"/>
      <c r="I336" s="7"/>
      <c r="J336" s="7"/>
      <c r="K336" s="7"/>
    </row>
    <row r="337">
      <c r="A337" s="7"/>
      <c r="B337" s="7"/>
      <c r="C337" s="7"/>
      <c r="D337" s="7"/>
      <c r="E337" s="7"/>
      <c r="F337" s="7"/>
      <c r="G337" s="7"/>
      <c r="H337" s="7"/>
      <c r="I337" s="7"/>
      <c r="J337" s="7"/>
      <c r="K337" s="7"/>
    </row>
    <row r="338">
      <c r="A338" s="7"/>
      <c r="B338" s="7"/>
      <c r="C338" s="7"/>
      <c r="D338" s="7"/>
      <c r="E338" s="7"/>
      <c r="F338" s="7"/>
      <c r="G338" s="7"/>
      <c r="H338" s="7"/>
      <c r="I338" s="7"/>
      <c r="J338" s="7"/>
      <c r="K338" s="7"/>
    </row>
    <row r="339">
      <c r="A339" s="7"/>
      <c r="B339" s="7"/>
      <c r="C339" s="7"/>
      <c r="D339" s="7"/>
      <c r="E339" s="7"/>
      <c r="F339" s="7"/>
      <c r="G339" s="7"/>
      <c r="H339" s="7"/>
      <c r="I339" s="7"/>
      <c r="J339" s="7"/>
      <c r="K339" s="7"/>
    </row>
    <row r="340">
      <c r="A340" s="7"/>
      <c r="B340" s="7"/>
      <c r="C340" s="7"/>
      <c r="D340" s="7"/>
      <c r="E340" s="7"/>
      <c r="F340" s="7"/>
      <c r="G340" s="7"/>
      <c r="H340" s="7"/>
      <c r="I340" s="7"/>
      <c r="J340" s="7"/>
      <c r="K340" s="7"/>
    </row>
    <row r="341">
      <c r="A341" s="7"/>
      <c r="B341" s="7"/>
      <c r="C341" s="7"/>
      <c r="D341" s="7"/>
      <c r="E341" s="7"/>
      <c r="F341" s="7"/>
      <c r="G341" s="7"/>
      <c r="H341" s="7"/>
      <c r="I341" s="7"/>
      <c r="J341" s="7"/>
      <c r="K341" s="7"/>
    </row>
    <row r="342">
      <c r="A342" s="7"/>
      <c r="B342" s="7"/>
      <c r="C342" s="7"/>
      <c r="D342" s="7"/>
      <c r="E342" s="7"/>
      <c r="F342" s="7"/>
      <c r="G342" s="7"/>
      <c r="H342" s="7"/>
      <c r="I342" s="7"/>
      <c r="J342" s="7"/>
      <c r="K342" s="7"/>
    </row>
    <row r="343">
      <c r="A343" s="7"/>
      <c r="B343" s="7"/>
      <c r="C343" s="7"/>
      <c r="D343" s="7"/>
      <c r="E343" s="7"/>
      <c r="F343" s="7"/>
      <c r="G343" s="7"/>
      <c r="H343" s="7"/>
      <c r="I343" s="7"/>
      <c r="J343" s="7"/>
      <c r="K343" s="7"/>
    </row>
    <row r="344">
      <c r="A344" s="7"/>
      <c r="B344" s="7"/>
      <c r="C344" s="7"/>
      <c r="D344" s="7"/>
      <c r="E344" s="7"/>
      <c r="F344" s="7"/>
      <c r="G344" s="7"/>
      <c r="H344" s="7"/>
      <c r="I344" s="7"/>
      <c r="J344" s="7"/>
      <c r="K344" s="7"/>
    </row>
    <row r="345">
      <c r="A345" s="7"/>
      <c r="B345" s="7"/>
      <c r="C345" s="7"/>
      <c r="D345" s="7"/>
      <c r="E345" s="7"/>
      <c r="F345" s="7"/>
      <c r="G345" s="7"/>
      <c r="H345" s="7"/>
      <c r="I345" s="7"/>
      <c r="J345" s="7"/>
      <c r="K345" s="7"/>
    </row>
    <row r="346">
      <c r="A346" s="7"/>
      <c r="B346" s="7"/>
      <c r="C346" s="7"/>
      <c r="D346" s="7"/>
      <c r="E346" s="7"/>
      <c r="F346" s="7"/>
      <c r="G346" s="7"/>
      <c r="H346" s="7"/>
      <c r="I346" s="7"/>
      <c r="J346" s="7"/>
      <c r="K346" s="7"/>
    </row>
    <row r="347">
      <c r="A347" s="7"/>
      <c r="B347" s="7"/>
      <c r="C347" s="7"/>
      <c r="D347" s="7"/>
      <c r="E347" s="7"/>
      <c r="F347" s="7"/>
      <c r="G347" s="7"/>
      <c r="H347" s="7"/>
      <c r="I347" s="7"/>
      <c r="J347" s="7"/>
      <c r="K347" s="7"/>
    </row>
    <row r="348">
      <c r="A348" s="7"/>
      <c r="B348" s="7"/>
      <c r="C348" s="7"/>
      <c r="D348" s="7"/>
      <c r="E348" s="7"/>
      <c r="F348" s="7"/>
      <c r="G348" s="7"/>
      <c r="H348" s="7"/>
      <c r="I348" s="7"/>
      <c r="J348" s="7"/>
      <c r="K348" s="7"/>
    </row>
    <row r="349">
      <c r="A349" s="7"/>
      <c r="B349" s="7"/>
      <c r="C349" s="7"/>
      <c r="D349" s="7"/>
      <c r="E349" s="7"/>
      <c r="F349" s="7"/>
      <c r="G349" s="7"/>
      <c r="H349" s="7"/>
      <c r="I349" s="7"/>
      <c r="J349" s="7"/>
      <c r="K349" s="7"/>
    </row>
    <row r="350">
      <c r="A350" s="7"/>
      <c r="B350" s="7"/>
      <c r="C350" s="7"/>
      <c r="D350" s="7"/>
      <c r="E350" s="7"/>
      <c r="F350" s="7"/>
      <c r="G350" s="7"/>
      <c r="H350" s="7"/>
      <c r="I350" s="7"/>
      <c r="J350" s="7"/>
      <c r="K350" s="7"/>
    </row>
    <row r="351">
      <c r="A351" s="7"/>
      <c r="B351" s="7"/>
      <c r="C351" s="7"/>
      <c r="D351" s="7"/>
      <c r="E351" s="7"/>
      <c r="F351" s="7"/>
      <c r="G351" s="7"/>
      <c r="H351" s="7"/>
      <c r="I351" s="7"/>
      <c r="J351" s="7"/>
      <c r="K351" s="7"/>
    </row>
    <row r="352">
      <c r="A352" s="7"/>
      <c r="B352" s="7"/>
      <c r="C352" s="7"/>
      <c r="D352" s="7"/>
      <c r="E352" s="7"/>
      <c r="F352" s="7"/>
      <c r="G352" s="7"/>
      <c r="H352" s="7"/>
      <c r="I352" s="7"/>
      <c r="J352" s="7"/>
      <c r="K352" s="7"/>
    </row>
    <row r="353">
      <c r="A353" s="7"/>
      <c r="B353" s="7"/>
      <c r="C353" s="7"/>
      <c r="D353" s="7"/>
      <c r="E353" s="7"/>
      <c r="F353" s="7"/>
      <c r="G353" s="7"/>
      <c r="H353" s="7"/>
      <c r="I353" s="7"/>
      <c r="J353" s="7"/>
      <c r="K353" s="7"/>
    </row>
    <row r="354">
      <c r="A354" s="7"/>
      <c r="B354" s="7"/>
      <c r="C354" s="7"/>
      <c r="D354" s="7"/>
      <c r="E354" s="7"/>
      <c r="F354" s="7"/>
      <c r="G354" s="7"/>
      <c r="H354" s="7"/>
      <c r="I354" s="7"/>
      <c r="J354" s="7"/>
      <c r="K354" s="7"/>
    </row>
    <row r="355">
      <c r="A355" s="7"/>
      <c r="B355" s="7"/>
      <c r="C355" s="7"/>
      <c r="D355" s="7"/>
      <c r="E355" s="7"/>
      <c r="F355" s="7"/>
      <c r="G355" s="7"/>
      <c r="H355" s="7"/>
      <c r="I355" s="7"/>
      <c r="J355" s="7"/>
      <c r="K355" s="7"/>
    </row>
    <row r="356">
      <c r="A356" s="7"/>
      <c r="B356" s="7"/>
      <c r="C356" s="7"/>
      <c r="D356" s="7"/>
      <c r="E356" s="7"/>
      <c r="F356" s="7"/>
      <c r="G356" s="7"/>
      <c r="H356" s="7"/>
      <c r="I356" s="7"/>
      <c r="J356" s="7"/>
      <c r="K356" s="7"/>
    </row>
    <row r="357">
      <c r="A357" s="7"/>
      <c r="B357" s="7"/>
      <c r="C357" s="7"/>
      <c r="D357" s="7"/>
      <c r="E357" s="7"/>
      <c r="F357" s="7"/>
      <c r="G357" s="7"/>
      <c r="H357" s="7"/>
      <c r="I357" s="7"/>
      <c r="J357" s="7"/>
      <c r="K357" s="7"/>
    </row>
    <row r="358">
      <c r="A358" s="7"/>
      <c r="B358" s="7"/>
      <c r="C358" s="7"/>
      <c r="D358" s="7"/>
      <c r="E358" s="7"/>
      <c r="F358" s="7"/>
      <c r="G358" s="7"/>
      <c r="H358" s="7"/>
      <c r="I358" s="7"/>
      <c r="J358" s="7"/>
      <c r="K358" s="7"/>
    </row>
    <row r="359">
      <c r="A359" s="7"/>
      <c r="B359" s="7"/>
      <c r="C359" s="7"/>
      <c r="D359" s="7"/>
      <c r="E359" s="7"/>
      <c r="F359" s="7"/>
      <c r="G359" s="7"/>
      <c r="H359" s="7"/>
      <c r="I359" s="7"/>
      <c r="J359" s="7"/>
      <c r="K359" s="7"/>
    </row>
    <row r="360">
      <c r="A360" s="7"/>
      <c r="B360" s="7"/>
      <c r="C360" s="7"/>
      <c r="D360" s="7"/>
      <c r="E360" s="7"/>
      <c r="F360" s="7"/>
      <c r="G360" s="7"/>
      <c r="H360" s="7"/>
      <c r="I360" s="7"/>
      <c r="J360" s="7"/>
      <c r="K360" s="7"/>
    </row>
    <row r="361">
      <c r="A361" s="7"/>
      <c r="B361" s="7"/>
      <c r="C361" s="7"/>
      <c r="D361" s="7"/>
      <c r="E361" s="7"/>
      <c r="F361" s="7"/>
      <c r="G361" s="7"/>
      <c r="H361" s="7"/>
      <c r="I361" s="7"/>
      <c r="J361" s="7"/>
      <c r="K361" s="7"/>
    </row>
    <row r="362">
      <c r="A362" s="7"/>
      <c r="B362" s="7"/>
      <c r="C362" s="7"/>
      <c r="D362" s="7"/>
      <c r="E362" s="7"/>
      <c r="F362" s="7"/>
      <c r="G362" s="7"/>
      <c r="H362" s="7"/>
      <c r="I362" s="7"/>
      <c r="J362" s="7"/>
      <c r="K362" s="7"/>
    </row>
    <row r="363">
      <c r="A363" s="7"/>
      <c r="B363" s="7"/>
      <c r="C363" s="7"/>
      <c r="D363" s="7"/>
      <c r="E363" s="7"/>
      <c r="F363" s="7"/>
      <c r="G363" s="7"/>
      <c r="H363" s="7"/>
      <c r="I363" s="7"/>
      <c r="J363" s="7"/>
      <c r="K363" s="7"/>
    </row>
    <row r="364">
      <c r="A364" s="7"/>
      <c r="B364" s="7"/>
      <c r="C364" s="7"/>
      <c r="D364" s="7"/>
      <c r="E364" s="7"/>
      <c r="F364" s="7"/>
      <c r="G364" s="7"/>
      <c r="H364" s="7"/>
      <c r="I364" s="7"/>
      <c r="J364" s="7"/>
      <c r="K364" s="7"/>
    </row>
    <row r="365">
      <c r="A365" s="7"/>
      <c r="B365" s="7"/>
      <c r="C365" s="7"/>
      <c r="D365" s="7"/>
      <c r="E365" s="7"/>
      <c r="F365" s="7"/>
      <c r="G365" s="7"/>
      <c r="H365" s="7"/>
      <c r="I365" s="7"/>
      <c r="J365" s="7"/>
      <c r="K365" s="7"/>
    </row>
    <row r="366">
      <c r="A366" s="7"/>
      <c r="B366" s="7"/>
      <c r="C366" s="7"/>
      <c r="D366" s="7"/>
      <c r="E366" s="7"/>
      <c r="F366" s="7"/>
      <c r="G366" s="7"/>
      <c r="H366" s="7"/>
      <c r="I366" s="7"/>
      <c r="J366" s="7"/>
      <c r="K366" s="7"/>
    </row>
    <row r="367">
      <c r="A367" s="7"/>
      <c r="B367" s="7"/>
      <c r="C367" s="7"/>
      <c r="D367" s="7"/>
      <c r="E367" s="7"/>
      <c r="F367" s="7"/>
      <c r="G367" s="7"/>
      <c r="H367" s="7"/>
      <c r="I367" s="7"/>
      <c r="J367" s="7"/>
      <c r="K367" s="7"/>
    </row>
    <row r="368">
      <c r="A368" s="7"/>
      <c r="B368" s="7"/>
      <c r="C368" s="7"/>
      <c r="D368" s="7"/>
      <c r="E368" s="7"/>
      <c r="F368" s="7"/>
      <c r="G368" s="7"/>
      <c r="H368" s="7"/>
      <c r="I368" s="7"/>
      <c r="J368" s="7"/>
      <c r="K368" s="7"/>
    </row>
    <row r="369">
      <c r="A369" s="7"/>
      <c r="B369" s="7"/>
      <c r="C369" s="7"/>
      <c r="D369" s="7"/>
      <c r="E369" s="7"/>
      <c r="F369" s="7"/>
      <c r="G369" s="7"/>
      <c r="H369" s="7"/>
      <c r="I369" s="7"/>
      <c r="J369" s="7"/>
      <c r="K369" s="7"/>
    </row>
    <row r="370">
      <c r="A370" s="7"/>
      <c r="B370" s="7"/>
      <c r="C370" s="7"/>
      <c r="D370" s="7"/>
      <c r="E370" s="7"/>
      <c r="F370" s="7"/>
      <c r="G370" s="7"/>
      <c r="H370" s="7"/>
      <c r="I370" s="7"/>
      <c r="J370" s="7"/>
      <c r="K370" s="7"/>
    </row>
    <row r="371">
      <c r="A371" s="7"/>
      <c r="B371" s="7"/>
      <c r="C371" s="7"/>
      <c r="D371" s="7"/>
      <c r="E371" s="7"/>
      <c r="F371" s="7"/>
      <c r="G371" s="7"/>
      <c r="H371" s="7"/>
      <c r="I371" s="7"/>
      <c r="J371" s="7"/>
      <c r="K371" s="7"/>
    </row>
    <row r="372">
      <c r="A372" s="7"/>
      <c r="B372" s="7"/>
      <c r="C372" s="7"/>
      <c r="D372" s="7"/>
      <c r="E372" s="7"/>
      <c r="F372" s="7"/>
      <c r="G372" s="7"/>
      <c r="H372" s="7"/>
      <c r="I372" s="7"/>
      <c r="J372" s="7"/>
      <c r="K372" s="7"/>
    </row>
    <row r="373">
      <c r="A373" s="7"/>
      <c r="B373" s="7"/>
      <c r="C373" s="7"/>
      <c r="D373" s="7"/>
      <c r="E373" s="7"/>
      <c r="F373" s="7"/>
      <c r="G373" s="7"/>
      <c r="H373" s="7"/>
      <c r="I373" s="7"/>
      <c r="J373" s="7"/>
      <c r="K373" s="7"/>
    </row>
    <row r="374">
      <c r="A374" s="7"/>
      <c r="B374" s="7"/>
      <c r="C374" s="7"/>
      <c r="D374" s="7"/>
      <c r="E374" s="7"/>
      <c r="F374" s="7"/>
      <c r="G374" s="7"/>
      <c r="H374" s="7"/>
      <c r="I374" s="7"/>
      <c r="J374" s="7"/>
      <c r="K374" s="7"/>
    </row>
    <row r="375">
      <c r="A375" s="7"/>
      <c r="B375" s="7"/>
      <c r="C375" s="7"/>
      <c r="D375" s="7"/>
      <c r="E375" s="7"/>
      <c r="F375" s="7"/>
      <c r="G375" s="7"/>
      <c r="H375" s="7"/>
      <c r="I375" s="7"/>
      <c r="J375" s="7"/>
      <c r="K375" s="7"/>
    </row>
    <row r="376">
      <c r="A376" s="7"/>
      <c r="B376" s="7"/>
      <c r="C376" s="7"/>
      <c r="D376" s="7"/>
      <c r="E376" s="7"/>
      <c r="F376" s="7"/>
      <c r="G376" s="7"/>
      <c r="H376" s="7"/>
      <c r="I376" s="7"/>
      <c r="J376" s="7"/>
      <c r="K376" s="7"/>
    </row>
    <row r="377">
      <c r="A377" s="7"/>
      <c r="B377" s="7"/>
      <c r="C377" s="7"/>
      <c r="D377" s="7"/>
      <c r="E377" s="7"/>
      <c r="F377" s="7"/>
      <c r="G377" s="7"/>
      <c r="H377" s="7"/>
      <c r="I377" s="7"/>
      <c r="J377" s="7"/>
      <c r="K377" s="7"/>
    </row>
    <row r="378">
      <c r="A378" s="7"/>
      <c r="B378" s="7"/>
      <c r="C378" s="7"/>
      <c r="D378" s="7"/>
      <c r="E378" s="7"/>
      <c r="F378" s="7"/>
      <c r="G378" s="7"/>
      <c r="H378" s="7"/>
      <c r="I378" s="7"/>
      <c r="J378" s="7"/>
      <c r="K378" s="7"/>
    </row>
    <row r="379">
      <c r="A379" s="7"/>
      <c r="B379" s="7"/>
      <c r="C379" s="7"/>
      <c r="D379" s="7"/>
      <c r="E379" s="7"/>
      <c r="F379" s="7"/>
      <c r="G379" s="7"/>
      <c r="H379" s="7"/>
      <c r="I379" s="7"/>
      <c r="J379" s="7"/>
      <c r="K379" s="7"/>
    </row>
    <row r="380">
      <c r="A380" s="7"/>
      <c r="B380" s="7"/>
      <c r="C380" s="7"/>
      <c r="D380" s="7"/>
      <c r="E380" s="7"/>
      <c r="F380" s="7"/>
      <c r="G380" s="7"/>
      <c r="H380" s="7"/>
      <c r="I380" s="7"/>
      <c r="J380" s="7"/>
      <c r="K380" s="7"/>
    </row>
    <row r="381">
      <c r="A381" s="7"/>
      <c r="B381" s="7"/>
      <c r="C381" s="7"/>
      <c r="D381" s="7"/>
      <c r="E381" s="7"/>
      <c r="F381" s="7"/>
      <c r="G381" s="7"/>
      <c r="H381" s="7"/>
      <c r="I381" s="7"/>
      <c r="J381" s="7"/>
      <c r="K381" s="7"/>
    </row>
    <row r="382">
      <c r="A382" s="7"/>
      <c r="B382" s="7"/>
      <c r="C382" s="7"/>
      <c r="D382" s="7"/>
      <c r="E382" s="7"/>
      <c r="F382" s="7"/>
      <c r="G382" s="7"/>
      <c r="H382" s="7"/>
      <c r="I382" s="7"/>
      <c r="J382" s="7"/>
      <c r="K382" s="7"/>
    </row>
    <row r="383">
      <c r="A383" s="7"/>
      <c r="B383" s="7"/>
      <c r="C383" s="7"/>
      <c r="D383" s="7"/>
      <c r="E383" s="7"/>
      <c r="F383" s="7"/>
      <c r="G383" s="7"/>
      <c r="H383" s="7"/>
      <c r="I383" s="7"/>
      <c r="J383" s="7"/>
      <c r="K383" s="7"/>
    </row>
    <row r="384">
      <c r="A384" s="7"/>
      <c r="B384" s="7"/>
      <c r="C384" s="7"/>
      <c r="D384" s="7"/>
      <c r="E384" s="7"/>
      <c r="F384" s="7"/>
      <c r="G384" s="7"/>
      <c r="H384" s="7"/>
      <c r="I384" s="7"/>
      <c r="J384" s="7"/>
      <c r="K384" s="7"/>
    </row>
    <row r="385">
      <c r="A385" s="7"/>
      <c r="B385" s="7"/>
      <c r="C385" s="7"/>
      <c r="D385" s="7"/>
      <c r="E385" s="7"/>
      <c r="F385" s="7"/>
      <c r="G385" s="7"/>
      <c r="H385" s="7"/>
      <c r="I385" s="7"/>
      <c r="J385" s="7"/>
      <c r="K385" s="7"/>
    </row>
    <row r="386">
      <c r="A386" s="7"/>
      <c r="B386" s="7"/>
      <c r="C386" s="7"/>
      <c r="D386" s="7"/>
      <c r="E386" s="7"/>
      <c r="F386" s="7"/>
      <c r="G386" s="7"/>
      <c r="H386" s="7"/>
      <c r="I386" s="7"/>
      <c r="J386" s="7"/>
      <c r="K386" s="7"/>
    </row>
    <row r="387">
      <c r="A387" s="7"/>
      <c r="B387" s="7"/>
      <c r="C387" s="7"/>
      <c r="D387" s="7"/>
      <c r="E387" s="7"/>
      <c r="F387" s="7"/>
      <c r="G387" s="7"/>
      <c r="H387" s="7"/>
      <c r="I387" s="7"/>
      <c r="J387" s="7"/>
      <c r="K387" s="7"/>
    </row>
    <row r="388">
      <c r="A388" s="7"/>
      <c r="B388" s="7"/>
      <c r="C388" s="7"/>
      <c r="D388" s="7"/>
      <c r="E388" s="7"/>
      <c r="F388" s="7"/>
      <c r="G388" s="7"/>
      <c r="H388" s="7"/>
      <c r="I388" s="7"/>
      <c r="J388" s="7"/>
      <c r="K388" s="7"/>
    </row>
    <row r="389">
      <c r="A389" s="7"/>
      <c r="B389" s="7"/>
      <c r="C389" s="7"/>
      <c r="D389" s="7"/>
      <c r="E389" s="7"/>
      <c r="F389" s="7"/>
      <c r="G389" s="7"/>
      <c r="H389" s="7"/>
      <c r="I389" s="7"/>
      <c r="J389" s="7"/>
      <c r="K389" s="7"/>
    </row>
    <row r="390">
      <c r="A390" s="7"/>
      <c r="B390" s="7"/>
      <c r="C390" s="7"/>
      <c r="D390" s="7"/>
      <c r="E390" s="7"/>
      <c r="F390" s="7"/>
      <c r="G390" s="7"/>
      <c r="H390" s="7"/>
      <c r="I390" s="7"/>
      <c r="J390" s="7"/>
      <c r="K390" s="7"/>
    </row>
    <row r="391">
      <c r="A391" s="7"/>
      <c r="B391" s="7"/>
      <c r="C391" s="7"/>
      <c r="D391" s="7"/>
      <c r="E391" s="7"/>
      <c r="F391" s="7"/>
      <c r="G391" s="7"/>
      <c r="H391" s="7"/>
      <c r="I391" s="7"/>
      <c r="J391" s="7"/>
      <c r="K391" s="7"/>
    </row>
    <row r="392">
      <c r="A392" s="7"/>
      <c r="B392" s="7"/>
      <c r="C392" s="7"/>
      <c r="D392" s="7"/>
      <c r="E392" s="7"/>
      <c r="F392" s="7"/>
      <c r="G392" s="7"/>
      <c r="H392" s="7"/>
      <c r="I392" s="7"/>
      <c r="J392" s="7"/>
      <c r="K392" s="7"/>
    </row>
    <row r="393">
      <c r="A393" s="7"/>
      <c r="B393" s="7"/>
      <c r="C393" s="7"/>
      <c r="D393" s="7"/>
      <c r="E393" s="7"/>
      <c r="F393" s="7"/>
      <c r="G393" s="7"/>
      <c r="H393" s="7"/>
      <c r="I393" s="7"/>
      <c r="J393" s="7"/>
      <c r="K393" s="7"/>
    </row>
    <row r="394">
      <c r="A394" s="7"/>
      <c r="B394" s="7"/>
      <c r="C394" s="7"/>
      <c r="D394" s="7"/>
      <c r="E394" s="7"/>
      <c r="F394" s="7"/>
      <c r="G394" s="7"/>
      <c r="H394" s="7"/>
      <c r="I394" s="7"/>
      <c r="J394" s="7"/>
      <c r="K394" s="7"/>
    </row>
    <row r="395">
      <c r="A395" s="7"/>
      <c r="B395" s="7"/>
      <c r="C395" s="7"/>
      <c r="D395" s="7"/>
      <c r="E395" s="7"/>
      <c r="F395" s="7"/>
      <c r="G395" s="7"/>
      <c r="H395" s="7"/>
      <c r="I395" s="7"/>
      <c r="J395" s="7"/>
      <c r="K395" s="7"/>
    </row>
    <row r="396">
      <c r="A396" s="7"/>
      <c r="B396" s="7"/>
      <c r="C396" s="7"/>
      <c r="D396" s="7"/>
      <c r="E396" s="7"/>
      <c r="F396" s="7"/>
      <c r="G396" s="7"/>
      <c r="H396" s="7"/>
      <c r="I396" s="7"/>
      <c r="J396" s="7"/>
      <c r="K396" s="7"/>
    </row>
    <row r="397">
      <c r="A397" s="7"/>
      <c r="B397" s="7"/>
      <c r="C397" s="7"/>
      <c r="D397" s="7"/>
      <c r="E397" s="7"/>
      <c r="F397" s="7"/>
      <c r="G397" s="7"/>
      <c r="H397" s="7"/>
      <c r="I397" s="7"/>
      <c r="J397" s="7"/>
      <c r="K397" s="7"/>
    </row>
    <row r="398">
      <c r="A398" s="7"/>
      <c r="B398" s="7"/>
      <c r="C398" s="7"/>
      <c r="D398" s="7"/>
      <c r="E398" s="7"/>
      <c r="F398" s="7"/>
      <c r="G398" s="7"/>
      <c r="H398" s="7"/>
      <c r="I398" s="7"/>
      <c r="J398" s="7"/>
      <c r="K398" s="7"/>
    </row>
    <row r="399">
      <c r="A399" s="7"/>
      <c r="B399" s="7"/>
      <c r="C399" s="7"/>
      <c r="D399" s="7"/>
      <c r="E399" s="7"/>
      <c r="F399" s="7"/>
      <c r="G399" s="7"/>
      <c r="H399" s="7"/>
      <c r="I399" s="7"/>
      <c r="J399" s="7"/>
      <c r="K399" s="7"/>
    </row>
    <row r="400">
      <c r="A400" s="7"/>
      <c r="B400" s="7"/>
      <c r="C400" s="7"/>
      <c r="D400" s="7"/>
      <c r="E400" s="7"/>
      <c r="F400" s="7"/>
      <c r="G400" s="7"/>
      <c r="H400" s="7"/>
      <c r="I400" s="7"/>
      <c r="J400" s="7"/>
      <c r="K400" s="7"/>
    </row>
    <row r="401">
      <c r="A401" s="7"/>
      <c r="B401" s="7"/>
      <c r="C401" s="7"/>
      <c r="D401" s="7"/>
      <c r="E401" s="7"/>
      <c r="F401" s="7"/>
      <c r="G401" s="7"/>
      <c r="H401" s="7"/>
      <c r="I401" s="7"/>
      <c r="J401" s="7"/>
      <c r="K401" s="7"/>
    </row>
    <row r="402">
      <c r="A402" s="7"/>
      <c r="B402" s="7"/>
      <c r="C402" s="7"/>
      <c r="D402" s="7"/>
      <c r="E402" s="7"/>
      <c r="F402" s="7"/>
      <c r="G402" s="7"/>
      <c r="H402" s="7"/>
      <c r="I402" s="7"/>
      <c r="J402" s="7"/>
      <c r="K402" s="7"/>
    </row>
    <row r="403">
      <c r="A403" s="7"/>
      <c r="B403" s="7"/>
      <c r="C403" s="7"/>
      <c r="D403" s="7"/>
      <c r="E403" s="7"/>
      <c r="F403" s="7"/>
      <c r="G403" s="7"/>
      <c r="H403" s="7"/>
      <c r="I403" s="7"/>
      <c r="J403" s="7"/>
      <c r="K403" s="7"/>
    </row>
    <row r="404">
      <c r="A404" s="7"/>
      <c r="B404" s="7"/>
      <c r="C404" s="7"/>
      <c r="D404" s="7"/>
      <c r="E404" s="7"/>
      <c r="F404" s="7"/>
      <c r="G404" s="7"/>
      <c r="H404" s="7"/>
      <c r="I404" s="7"/>
      <c r="J404" s="7"/>
      <c r="K404" s="7"/>
    </row>
    <row r="405">
      <c r="A405" s="7"/>
      <c r="B405" s="7"/>
      <c r="C405" s="7"/>
      <c r="D405" s="7"/>
      <c r="E405" s="7"/>
      <c r="F405" s="7"/>
      <c r="G405" s="7"/>
      <c r="H405" s="7"/>
      <c r="I405" s="7"/>
      <c r="J405" s="7"/>
      <c r="K405" s="7"/>
    </row>
    <row r="406">
      <c r="A406" s="7"/>
      <c r="B406" s="7"/>
      <c r="C406" s="7"/>
      <c r="D406" s="7"/>
      <c r="E406" s="7"/>
      <c r="F406" s="7"/>
      <c r="G406" s="7"/>
      <c r="H406" s="7"/>
      <c r="I406" s="7"/>
      <c r="J406" s="7"/>
      <c r="K406" s="7"/>
    </row>
    <row r="407">
      <c r="A407" s="7"/>
      <c r="B407" s="7"/>
      <c r="C407" s="7"/>
      <c r="D407" s="7"/>
      <c r="E407" s="7"/>
      <c r="F407" s="7"/>
      <c r="G407" s="7"/>
      <c r="H407" s="7"/>
      <c r="I407" s="7"/>
      <c r="J407" s="7"/>
      <c r="K407" s="7"/>
    </row>
    <row r="408">
      <c r="A408" s="7"/>
      <c r="B408" s="7"/>
      <c r="C408" s="7"/>
      <c r="D408" s="7"/>
      <c r="E408" s="7"/>
      <c r="F408" s="7"/>
      <c r="G408" s="7"/>
      <c r="H408" s="7"/>
      <c r="I408" s="7"/>
      <c r="J408" s="7"/>
      <c r="K408" s="7"/>
    </row>
    <row r="409">
      <c r="A409" s="7"/>
      <c r="B409" s="7"/>
      <c r="C409" s="7"/>
      <c r="D409" s="7"/>
      <c r="E409" s="7"/>
      <c r="F409" s="7"/>
      <c r="G409" s="7"/>
      <c r="H409" s="7"/>
      <c r="I409" s="7"/>
      <c r="J409" s="7"/>
      <c r="K409" s="7"/>
    </row>
    <row r="410">
      <c r="A410" s="7"/>
      <c r="B410" s="7"/>
      <c r="C410" s="7"/>
      <c r="D410" s="7"/>
      <c r="E410" s="7"/>
      <c r="F410" s="7"/>
      <c r="G410" s="7"/>
      <c r="H410" s="7"/>
      <c r="I410" s="7"/>
      <c r="J410" s="7"/>
      <c r="K410" s="7"/>
    </row>
    <row r="411">
      <c r="A411" s="7"/>
      <c r="B411" s="7"/>
      <c r="C411" s="7"/>
      <c r="D411" s="7"/>
      <c r="E411" s="7"/>
      <c r="F411" s="7"/>
      <c r="G411" s="7"/>
      <c r="H411" s="7"/>
      <c r="I411" s="7"/>
      <c r="J411" s="7"/>
      <c r="K411" s="7"/>
    </row>
    <row r="412">
      <c r="A412" s="7"/>
      <c r="B412" s="7"/>
      <c r="C412" s="7"/>
      <c r="D412" s="7"/>
      <c r="E412" s="7"/>
      <c r="F412" s="7"/>
      <c r="G412" s="7"/>
      <c r="H412" s="7"/>
      <c r="I412" s="7"/>
      <c r="J412" s="7"/>
      <c r="K412" s="7"/>
    </row>
    <row r="413">
      <c r="A413" s="7"/>
      <c r="B413" s="7"/>
      <c r="C413" s="7"/>
      <c r="D413" s="7"/>
      <c r="E413" s="7"/>
      <c r="F413" s="7"/>
      <c r="G413" s="7"/>
      <c r="H413" s="7"/>
      <c r="I413" s="7"/>
      <c r="J413" s="7"/>
      <c r="K413" s="7"/>
    </row>
    <row r="414">
      <c r="A414" s="7"/>
      <c r="B414" s="7"/>
      <c r="C414" s="7"/>
      <c r="D414" s="7"/>
      <c r="E414" s="7"/>
      <c r="F414" s="7"/>
      <c r="G414" s="7"/>
      <c r="H414" s="7"/>
      <c r="I414" s="7"/>
      <c r="J414" s="7"/>
      <c r="K414" s="7"/>
    </row>
    <row r="415">
      <c r="A415" s="7"/>
      <c r="B415" s="7"/>
      <c r="C415" s="7"/>
      <c r="D415" s="7"/>
      <c r="E415" s="7"/>
      <c r="F415" s="7"/>
      <c r="G415" s="7"/>
      <c r="H415" s="7"/>
      <c r="I415" s="7"/>
      <c r="J415" s="7"/>
      <c r="K415" s="7"/>
    </row>
    <row r="416">
      <c r="A416" s="7"/>
      <c r="B416" s="7"/>
      <c r="C416" s="7"/>
      <c r="D416" s="7"/>
      <c r="E416" s="7"/>
      <c r="F416" s="7"/>
      <c r="G416" s="7"/>
      <c r="H416" s="7"/>
      <c r="I416" s="7"/>
      <c r="J416" s="7"/>
      <c r="K416" s="7"/>
    </row>
    <row r="417">
      <c r="A417" s="7"/>
      <c r="B417" s="7"/>
      <c r="C417" s="7"/>
      <c r="D417" s="7"/>
      <c r="E417" s="7"/>
      <c r="F417" s="7"/>
      <c r="G417" s="7"/>
      <c r="H417" s="7"/>
      <c r="I417" s="7"/>
      <c r="J417" s="7"/>
      <c r="K417" s="7"/>
    </row>
    <row r="418">
      <c r="A418" s="7"/>
      <c r="B418" s="7"/>
      <c r="C418" s="7"/>
      <c r="D418" s="7"/>
      <c r="E418" s="7"/>
      <c r="F418" s="7"/>
      <c r="G418" s="7"/>
      <c r="H418" s="7"/>
      <c r="I418" s="7"/>
      <c r="J418" s="7"/>
      <c r="K418" s="7"/>
    </row>
    <row r="419">
      <c r="A419" s="7"/>
      <c r="B419" s="7"/>
      <c r="C419" s="7"/>
      <c r="D419" s="7"/>
      <c r="E419" s="7"/>
      <c r="F419" s="7"/>
      <c r="G419" s="7"/>
      <c r="H419" s="7"/>
      <c r="I419" s="7"/>
      <c r="J419" s="7"/>
      <c r="K419" s="7"/>
    </row>
    <row r="420">
      <c r="A420" s="7"/>
      <c r="B420" s="7"/>
      <c r="C420" s="7"/>
      <c r="D420" s="7"/>
      <c r="E420" s="7"/>
      <c r="F420" s="7"/>
      <c r="G420" s="7"/>
      <c r="H420" s="7"/>
      <c r="I420" s="7"/>
      <c r="J420" s="7"/>
      <c r="K420" s="7"/>
    </row>
    <row r="421">
      <c r="A421" s="7"/>
      <c r="B421" s="7"/>
      <c r="C421" s="7"/>
      <c r="D421" s="7"/>
      <c r="E421" s="7"/>
      <c r="F421" s="7"/>
      <c r="G421" s="7"/>
      <c r="H421" s="7"/>
      <c r="I421" s="7"/>
      <c r="J421" s="7"/>
      <c r="K421" s="7"/>
    </row>
    <row r="422">
      <c r="A422" s="7"/>
      <c r="B422" s="7"/>
      <c r="C422" s="7"/>
      <c r="D422" s="7"/>
      <c r="E422" s="7"/>
      <c r="F422" s="7"/>
      <c r="G422" s="7"/>
      <c r="H422" s="7"/>
      <c r="I422" s="7"/>
      <c r="J422" s="7"/>
      <c r="K422" s="7"/>
    </row>
    <row r="423">
      <c r="A423" s="7"/>
      <c r="B423" s="7"/>
      <c r="C423" s="7"/>
      <c r="D423" s="7"/>
      <c r="E423" s="7"/>
      <c r="F423" s="7"/>
      <c r="G423" s="7"/>
      <c r="H423" s="7"/>
      <c r="I423" s="7"/>
      <c r="J423" s="7"/>
      <c r="K423" s="7"/>
    </row>
    <row r="424">
      <c r="A424" s="7"/>
      <c r="B424" s="7"/>
      <c r="C424" s="7"/>
      <c r="D424" s="7"/>
      <c r="E424" s="7"/>
      <c r="F424" s="7"/>
      <c r="G424" s="7"/>
      <c r="H424" s="7"/>
      <c r="I424" s="7"/>
      <c r="J424" s="7"/>
      <c r="K424" s="7"/>
    </row>
    <row r="425">
      <c r="A425" s="7"/>
      <c r="B425" s="7"/>
      <c r="C425" s="7"/>
      <c r="D425" s="7"/>
      <c r="E425" s="7"/>
      <c r="F425" s="7"/>
      <c r="G425" s="7"/>
      <c r="H425" s="7"/>
      <c r="I425" s="7"/>
      <c r="J425" s="7"/>
      <c r="K425" s="7"/>
    </row>
    <row r="426">
      <c r="A426" s="7"/>
      <c r="B426" s="7"/>
      <c r="C426" s="7"/>
      <c r="D426" s="7"/>
      <c r="E426" s="7"/>
      <c r="F426" s="7"/>
      <c r="G426" s="7"/>
      <c r="H426" s="7"/>
      <c r="I426" s="7"/>
      <c r="J426" s="7"/>
      <c r="K426" s="7"/>
    </row>
    <row r="427">
      <c r="A427" s="7"/>
      <c r="B427" s="7"/>
      <c r="C427" s="7"/>
      <c r="D427" s="7"/>
      <c r="E427" s="7"/>
      <c r="F427" s="7"/>
      <c r="G427" s="7"/>
      <c r="H427" s="7"/>
      <c r="I427" s="7"/>
      <c r="J427" s="7"/>
      <c r="K427" s="7"/>
    </row>
    <row r="428">
      <c r="A428" s="7"/>
      <c r="B428" s="7"/>
      <c r="C428" s="7"/>
      <c r="D428" s="7"/>
      <c r="E428" s="7"/>
      <c r="F428" s="7"/>
      <c r="G428" s="7"/>
      <c r="H428" s="7"/>
      <c r="I428" s="7"/>
      <c r="J428" s="7"/>
      <c r="K428" s="7"/>
    </row>
    <row r="429">
      <c r="A429" s="7"/>
      <c r="B429" s="7"/>
      <c r="C429" s="7"/>
      <c r="D429" s="7"/>
      <c r="E429" s="7"/>
      <c r="F429" s="7"/>
      <c r="G429" s="7"/>
      <c r="H429" s="7"/>
      <c r="I429" s="7"/>
      <c r="J429" s="7"/>
      <c r="K429" s="7"/>
    </row>
    <row r="430">
      <c r="A430" s="7"/>
      <c r="B430" s="7"/>
      <c r="C430" s="7"/>
      <c r="D430" s="7"/>
      <c r="E430" s="7"/>
      <c r="F430" s="7"/>
      <c r="G430" s="7"/>
      <c r="H430" s="7"/>
      <c r="I430" s="7"/>
      <c r="J430" s="7"/>
      <c r="K430" s="7"/>
    </row>
    <row r="431">
      <c r="A431" s="7"/>
      <c r="B431" s="7"/>
      <c r="C431" s="7"/>
      <c r="D431" s="7"/>
      <c r="E431" s="7"/>
      <c r="F431" s="7"/>
      <c r="G431" s="7"/>
      <c r="H431" s="7"/>
      <c r="I431" s="7"/>
      <c r="J431" s="7"/>
      <c r="K431" s="7"/>
    </row>
    <row r="432">
      <c r="A432" s="7"/>
      <c r="B432" s="7"/>
      <c r="C432" s="7"/>
      <c r="D432" s="7"/>
      <c r="E432" s="7"/>
      <c r="F432" s="7"/>
      <c r="G432" s="7"/>
      <c r="H432" s="7"/>
      <c r="I432" s="7"/>
      <c r="J432" s="7"/>
      <c r="K432" s="7"/>
    </row>
    <row r="433">
      <c r="A433" s="7"/>
      <c r="B433" s="7"/>
      <c r="C433" s="7"/>
      <c r="D433" s="7"/>
      <c r="E433" s="7"/>
      <c r="F433" s="7"/>
      <c r="G433" s="7"/>
      <c r="H433" s="7"/>
      <c r="I433" s="7"/>
      <c r="J433" s="7"/>
      <c r="K433" s="7"/>
    </row>
    <row r="434">
      <c r="A434" s="7"/>
      <c r="B434" s="7"/>
      <c r="C434" s="7"/>
      <c r="D434" s="7"/>
      <c r="E434" s="7"/>
      <c r="F434" s="7"/>
      <c r="G434" s="7"/>
      <c r="H434" s="7"/>
      <c r="I434" s="7"/>
      <c r="J434" s="7"/>
      <c r="K434" s="7"/>
    </row>
    <row r="435">
      <c r="A435" s="7"/>
      <c r="B435" s="7"/>
      <c r="C435" s="7"/>
      <c r="D435" s="7"/>
      <c r="E435" s="7"/>
      <c r="F435" s="7"/>
      <c r="G435" s="7"/>
      <c r="H435" s="7"/>
      <c r="I435" s="7"/>
      <c r="J435" s="7"/>
      <c r="K435" s="7"/>
    </row>
    <row r="436">
      <c r="A436" s="7"/>
      <c r="B436" s="7"/>
      <c r="C436" s="7"/>
      <c r="D436" s="7"/>
      <c r="E436" s="7"/>
      <c r="F436" s="7"/>
      <c r="G436" s="7"/>
      <c r="H436" s="7"/>
      <c r="I436" s="7"/>
      <c r="J436" s="7"/>
      <c r="K436" s="7"/>
    </row>
    <row r="437">
      <c r="A437" s="7"/>
      <c r="B437" s="7"/>
      <c r="C437" s="7"/>
      <c r="D437" s="7"/>
      <c r="E437" s="7"/>
      <c r="F437" s="7"/>
      <c r="G437" s="7"/>
      <c r="H437" s="7"/>
      <c r="I437" s="7"/>
      <c r="J437" s="7"/>
      <c r="K437" s="7"/>
    </row>
    <row r="438">
      <c r="A438" s="7"/>
      <c r="B438" s="7"/>
      <c r="C438" s="7"/>
      <c r="D438" s="7"/>
      <c r="E438" s="7"/>
      <c r="F438" s="7"/>
      <c r="G438" s="7"/>
      <c r="H438" s="7"/>
      <c r="I438" s="7"/>
      <c r="J438" s="7"/>
      <c r="K438" s="7"/>
    </row>
    <row r="439">
      <c r="A439" s="7"/>
      <c r="B439" s="7"/>
      <c r="C439" s="7"/>
      <c r="D439" s="7"/>
      <c r="E439" s="7"/>
      <c r="F439" s="7"/>
      <c r="G439" s="7"/>
      <c r="H439" s="7"/>
      <c r="I439" s="7"/>
      <c r="J439" s="7"/>
      <c r="K439" s="7"/>
    </row>
    <row r="440">
      <c r="A440" s="7"/>
      <c r="B440" s="7"/>
      <c r="C440" s="7"/>
      <c r="D440" s="7"/>
      <c r="E440" s="7"/>
      <c r="F440" s="7"/>
      <c r="G440" s="7"/>
      <c r="H440" s="7"/>
      <c r="I440" s="7"/>
      <c r="J440" s="7"/>
      <c r="K440" s="7"/>
    </row>
    <row r="441">
      <c r="A441" s="7"/>
      <c r="B441" s="7"/>
      <c r="C441" s="7"/>
      <c r="D441" s="7"/>
      <c r="E441" s="7"/>
      <c r="F441" s="7"/>
      <c r="G441" s="7"/>
      <c r="H441" s="7"/>
      <c r="I441" s="7"/>
      <c r="J441" s="7"/>
      <c r="K441" s="7"/>
    </row>
    <row r="442">
      <c r="A442" s="7"/>
      <c r="B442" s="7"/>
      <c r="C442" s="7"/>
      <c r="D442" s="7"/>
      <c r="E442" s="7"/>
      <c r="F442" s="7"/>
      <c r="G442" s="7"/>
      <c r="H442" s="7"/>
      <c r="I442" s="7"/>
      <c r="J442" s="7"/>
      <c r="K442" s="7"/>
    </row>
    <row r="443">
      <c r="A443" s="7"/>
      <c r="B443" s="7"/>
      <c r="C443" s="7"/>
      <c r="D443" s="7"/>
      <c r="E443" s="7"/>
      <c r="F443" s="7"/>
      <c r="G443" s="7"/>
      <c r="H443" s="7"/>
      <c r="I443" s="7"/>
      <c r="J443" s="7"/>
      <c r="K443" s="7"/>
    </row>
    <row r="444">
      <c r="A444" s="7"/>
      <c r="B444" s="7"/>
      <c r="C444" s="7"/>
      <c r="D444" s="7"/>
      <c r="E444" s="7"/>
      <c r="F444" s="7"/>
      <c r="G444" s="7"/>
      <c r="H444" s="7"/>
      <c r="I444" s="7"/>
      <c r="J444" s="7"/>
      <c r="K444" s="7"/>
    </row>
    <row r="445">
      <c r="A445" s="7"/>
      <c r="B445" s="7"/>
      <c r="C445" s="7"/>
      <c r="D445" s="7"/>
      <c r="E445" s="7"/>
      <c r="F445" s="7"/>
      <c r="G445" s="7"/>
      <c r="H445" s="7"/>
      <c r="I445" s="7"/>
      <c r="J445" s="7"/>
      <c r="K445" s="7"/>
    </row>
    <row r="446">
      <c r="A446" s="7"/>
      <c r="B446" s="7"/>
      <c r="C446" s="7"/>
      <c r="D446" s="7"/>
      <c r="E446" s="7"/>
      <c r="F446" s="7"/>
      <c r="G446" s="7"/>
      <c r="H446" s="7"/>
      <c r="I446" s="7"/>
      <c r="J446" s="7"/>
      <c r="K446" s="7"/>
    </row>
    <row r="447">
      <c r="A447" s="7"/>
      <c r="B447" s="7"/>
      <c r="C447" s="7"/>
      <c r="D447" s="7"/>
      <c r="E447" s="7"/>
      <c r="F447" s="7"/>
      <c r="G447" s="7"/>
      <c r="H447" s="7"/>
      <c r="I447" s="7"/>
      <c r="J447" s="7"/>
      <c r="K447" s="7"/>
    </row>
    <row r="448">
      <c r="A448" s="7"/>
      <c r="B448" s="7"/>
      <c r="C448" s="7"/>
      <c r="D448" s="7"/>
      <c r="E448" s="7"/>
      <c r="F448" s="7"/>
      <c r="G448" s="7"/>
      <c r="H448" s="7"/>
      <c r="I448" s="7"/>
      <c r="J448" s="7"/>
      <c r="K448" s="7"/>
    </row>
    <row r="449">
      <c r="A449" s="7"/>
      <c r="B449" s="7"/>
      <c r="C449" s="7"/>
      <c r="D449" s="7"/>
      <c r="E449" s="7"/>
      <c r="F449" s="7"/>
      <c r="G449" s="7"/>
      <c r="H449" s="7"/>
      <c r="I449" s="7"/>
      <c r="J449" s="7"/>
      <c r="K449" s="7"/>
    </row>
    <row r="450">
      <c r="A450" s="7"/>
      <c r="B450" s="7"/>
      <c r="C450" s="7"/>
      <c r="D450" s="7"/>
      <c r="E450" s="7"/>
      <c r="F450" s="7"/>
      <c r="G450" s="7"/>
      <c r="H450" s="7"/>
      <c r="I450" s="7"/>
      <c r="J450" s="7"/>
      <c r="K450" s="7"/>
    </row>
    <row r="451">
      <c r="A451" s="7"/>
      <c r="B451" s="7"/>
      <c r="C451" s="7"/>
      <c r="D451" s="7"/>
      <c r="E451" s="7"/>
      <c r="F451" s="7"/>
      <c r="G451" s="7"/>
      <c r="H451" s="7"/>
      <c r="I451" s="7"/>
      <c r="J451" s="7"/>
      <c r="K451" s="7"/>
    </row>
    <row r="452">
      <c r="A452" s="7"/>
      <c r="B452" s="7"/>
      <c r="C452" s="7"/>
      <c r="D452" s="7"/>
      <c r="E452" s="7"/>
      <c r="F452" s="7"/>
      <c r="G452" s="7"/>
      <c r="H452" s="7"/>
      <c r="I452" s="7"/>
      <c r="J452" s="7"/>
      <c r="K452" s="7"/>
    </row>
    <row r="453">
      <c r="A453" s="7"/>
      <c r="B453" s="7"/>
      <c r="C453" s="7"/>
      <c r="D453" s="7"/>
      <c r="E453" s="7"/>
      <c r="F453" s="7"/>
      <c r="G453" s="7"/>
      <c r="H453" s="7"/>
      <c r="I453" s="7"/>
      <c r="J453" s="7"/>
      <c r="K453" s="7"/>
    </row>
    <row r="454">
      <c r="A454" s="7"/>
      <c r="B454" s="7"/>
      <c r="C454" s="7"/>
      <c r="D454" s="7"/>
      <c r="E454" s="7"/>
      <c r="F454" s="7"/>
      <c r="G454" s="7"/>
      <c r="H454" s="7"/>
      <c r="I454" s="7"/>
      <c r="J454" s="7"/>
      <c r="K454" s="7"/>
    </row>
    <row r="455">
      <c r="A455" s="7"/>
      <c r="B455" s="7"/>
      <c r="C455" s="7"/>
      <c r="D455" s="7"/>
      <c r="E455" s="7"/>
      <c r="F455" s="7"/>
      <c r="G455" s="7"/>
      <c r="H455" s="7"/>
      <c r="I455" s="7"/>
      <c r="J455" s="7"/>
      <c r="K455" s="7"/>
    </row>
    <row r="456">
      <c r="A456" s="7"/>
      <c r="B456" s="7"/>
      <c r="C456" s="7"/>
      <c r="D456" s="7"/>
      <c r="E456" s="7"/>
      <c r="F456" s="7"/>
      <c r="G456" s="7"/>
      <c r="H456" s="7"/>
      <c r="I456" s="7"/>
      <c r="J456" s="7"/>
      <c r="K456" s="7"/>
    </row>
    <row r="457">
      <c r="A457" s="7"/>
      <c r="B457" s="7"/>
      <c r="C457" s="7"/>
      <c r="D457" s="7"/>
      <c r="E457" s="7"/>
      <c r="F457" s="7"/>
      <c r="G457" s="7"/>
      <c r="H457" s="7"/>
      <c r="I457" s="7"/>
      <c r="J457" s="7"/>
      <c r="K457" s="7"/>
    </row>
    <row r="458">
      <c r="A458" s="7"/>
      <c r="B458" s="7"/>
      <c r="C458" s="7"/>
      <c r="D458" s="7"/>
      <c r="E458" s="7"/>
      <c r="F458" s="7"/>
      <c r="G458" s="7"/>
      <c r="H458" s="7"/>
      <c r="I458" s="7"/>
      <c r="J458" s="7"/>
      <c r="K458" s="7"/>
    </row>
    <row r="459">
      <c r="A459" s="7"/>
      <c r="B459" s="7"/>
      <c r="C459" s="7"/>
      <c r="D459" s="7"/>
      <c r="E459" s="7"/>
      <c r="F459" s="7"/>
      <c r="G459" s="7"/>
      <c r="H459" s="7"/>
      <c r="I459" s="7"/>
      <c r="J459" s="7"/>
      <c r="K459" s="7"/>
    </row>
    <row r="460">
      <c r="A460" s="7"/>
      <c r="B460" s="7"/>
      <c r="C460" s="7"/>
      <c r="D460" s="7"/>
      <c r="E460" s="7"/>
      <c r="F460" s="7"/>
      <c r="G460" s="7"/>
      <c r="H460" s="7"/>
      <c r="I460" s="7"/>
      <c r="J460" s="7"/>
      <c r="K460" s="7"/>
    </row>
    <row r="461">
      <c r="A461" s="7"/>
      <c r="B461" s="7"/>
      <c r="C461" s="7"/>
      <c r="D461" s="7"/>
      <c r="E461" s="7"/>
      <c r="F461" s="7"/>
      <c r="G461" s="7"/>
      <c r="H461" s="7"/>
      <c r="I461" s="7"/>
      <c r="J461" s="7"/>
      <c r="K461" s="7"/>
    </row>
    <row r="462">
      <c r="A462" s="7"/>
      <c r="B462" s="7"/>
      <c r="C462" s="7"/>
      <c r="D462" s="7"/>
      <c r="E462" s="7"/>
      <c r="F462" s="7"/>
      <c r="G462" s="7"/>
      <c r="H462" s="7"/>
      <c r="I462" s="7"/>
      <c r="J462" s="7"/>
      <c r="K462" s="7"/>
    </row>
    <row r="463">
      <c r="A463" s="7"/>
      <c r="B463" s="7"/>
      <c r="C463" s="7"/>
      <c r="D463" s="7"/>
      <c r="E463" s="7"/>
      <c r="F463" s="7"/>
      <c r="G463" s="7"/>
      <c r="H463" s="7"/>
      <c r="I463" s="7"/>
      <c r="J463" s="7"/>
      <c r="K463" s="7"/>
    </row>
    <row r="464">
      <c r="A464" s="7"/>
      <c r="B464" s="7"/>
      <c r="C464" s="7"/>
      <c r="D464" s="7"/>
      <c r="E464" s="7"/>
      <c r="F464" s="7"/>
      <c r="G464" s="7"/>
      <c r="H464" s="7"/>
      <c r="I464" s="7"/>
      <c r="J464" s="7"/>
      <c r="K464" s="7"/>
    </row>
    <row r="465">
      <c r="A465" s="7"/>
      <c r="B465" s="7"/>
      <c r="C465" s="7"/>
      <c r="D465" s="7"/>
      <c r="E465" s="7"/>
      <c r="F465" s="7"/>
      <c r="G465" s="7"/>
      <c r="H465" s="7"/>
      <c r="I465" s="7"/>
      <c r="J465" s="7"/>
      <c r="K465" s="7"/>
    </row>
    <row r="466">
      <c r="A466" s="7"/>
      <c r="B466" s="7"/>
      <c r="C466" s="7"/>
      <c r="D466" s="7"/>
      <c r="E466" s="7"/>
      <c r="F466" s="7"/>
      <c r="G466" s="7"/>
      <c r="H466" s="7"/>
      <c r="I466" s="7"/>
      <c r="J466" s="7"/>
      <c r="K466" s="7"/>
    </row>
    <row r="467">
      <c r="A467" s="7"/>
      <c r="B467" s="7"/>
      <c r="C467" s="7"/>
      <c r="D467" s="7"/>
      <c r="E467" s="7"/>
      <c r="F467" s="7"/>
      <c r="G467" s="7"/>
      <c r="H467" s="7"/>
      <c r="I467" s="7"/>
      <c r="J467" s="7"/>
      <c r="K467" s="7"/>
    </row>
    <row r="468">
      <c r="A468" s="7"/>
      <c r="B468" s="7"/>
      <c r="C468" s="7"/>
      <c r="D468" s="7"/>
      <c r="E468" s="7"/>
      <c r="F468" s="7"/>
      <c r="G468" s="7"/>
      <c r="H468" s="7"/>
      <c r="I468" s="7"/>
      <c r="J468" s="7"/>
      <c r="K468" s="7"/>
    </row>
    <row r="469">
      <c r="A469" s="7"/>
      <c r="B469" s="7"/>
      <c r="C469" s="7"/>
      <c r="D469" s="7"/>
      <c r="E469" s="7"/>
      <c r="F469" s="7"/>
      <c r="G469" s="7"/>
      <c r="H469" s="7"/>
      <c r="I469" s="7"/>
      <c r="J469" s="7"/>
      <c r="K469" s="7"/>
    </row>
    <row r="470">
      <c r="A470" s="7"/>
      <c r="B470" s="7"/>
      <c r="C470" s="7"/>
      <c r="D470" s="7"/>
      <c r="E470" s="7"/>
      <c r="F470" s="7"/>
      <c r="G470" s="7"/>
      <c r="H470" s="7"/>
      <c r="I470" s="7"/>
      <c r="J470" s="7"/>
      <c r="K470" s="7"/>
    </row>
    <row r="471">
      <c r="A471" s="7"/>
      <c r="B471" s="7"/>
      <c r="C471" s="7"/>
      <c r="D471" s="7"/>
      <c r="E471" s="7"/>
      <c r="F471" s="7"/>
      <c r="G471" s="7"/>
      <c r="H471" s="7"/>
      <c r="I471" s="7"/>
      <c r="J471" s="7"/>
      <c r="K471" s="7"/>
    </row>
    <row r="472">
      <c r="A472" s="7"/>
      <c r="B472" s="7"/>
      <c r="C472" s="7"/>
      <c r="D472" s="7"/>
      <c r="E472" s="7"/>
      <c r="F472" s="7"/>
      <c r="G472" s="7"/>
      <c r="H472" s="7"/>
      <c r="I472" s="7"/>
      <c r="J472" s="7"/>
      <c r="K472" s="7"/>
    </row>
    <row r="473">
      <c r="A473" s="7"/>
      <c r="B473" s="7"/>
      <c r="C473" s="7"/>
      <c r="D473" s="7"/>
      <c r="E473" s="7"/>
      <c r="F473" s="7"/>
      <c r="G473" s="7"/>
      <c r="H473" s="7"/>
      <c r="I473" s="7"/>
      <c r="J473" s="7"/>
      <c r="K473" s="7"/>
    </row>
    <row r="474">
      <c r="A474" s="7"/>
      <c r="B474" s="7"/>
      <c r="C474" s="7"/>
      <c r="D474" s="7"/>
      <c r="E474" s="7"/>
      <c r="F474" s="7"/>
      <c r="G474" s="7"/>
      <c r="H474" s="7"/>
      <c r="I474" s="7"/>
      <c r="J474" s="7"/>
      <c r="K474" s="7"/>
    </row>
    <row r="475">
      <c r="A475" s="7"/>
      <c r="B475" s="7"/>
      <c r="C475" s="7"/>
      <c r="D475" s="7"/>
      <c r="E475" s="7"/>
      <c r="F475" s="7"/>
      <c r="G475" s="7"/>
      <c r="H475" s="7"/>
      <c r="I475" s="7"/>
      <c r="J475" s="7"/>
      <c r="K475" s="7"/>
    </row>
    <row r="476">
      <c r="A476" s="7"/>
      <c r="B476" s="7"/>
      <c r="C476" s="7"/>
      <c r="D476" s="7"/>
      <c r="E476" s="7"/>
      <c r="F476" s="7"/>
      <c r="G476" s="7"/>
      <c r="H476" s="7"/>
      <c r="I476" s="7"/>
      <c r="J476" s="7"/>
      <c r="K476" s="7"/>
    </row>
    <row r="477">
      <c r="A477" s="7"/>
      <c r="B477" s="7"/>
      <c r="C477" s="7"/>
      <c r="D477" s="7"/>
      <c r="E477" s="7"/>
      <c r="F477" s="7"/>
      <c r="G477" s="7"/>
      <c r="H477" s="7"/>
      <c r="I477" s="7"/>
      <c r="J477" s="7"/>
      <c r="K477" s="7"/>
    </row>
    <row r="478">
      <c r="A478" s="7"/>
      <c r="B478" s="7"/>
      <c r="C478" s="7"/>
      <c r="D478" s="7"/>
      <c r="E478" s="7"/>
      <c r="F478" s="7"/>
      <c r="G478" s="7"/>
      <c r="H478" s="7"/>
      <c r="I478" s="7"/>
      <c r="J478" s="7"/>
      <c r="K478" s="7"/>
    </row>
    <row r="479">
      <c r="A479" s="7"/>
      <c r="B479" s="7"/>
      <c r="C479" s="7"/>
      <c r="D479" s="7"/>
      <c r="E479" s="7"/>
      <c r="F479" s="7"/>
      <c r="G479" s="7"/>
      <c r="H479" s="7"/>
      <c r="I479" s="7"/>
      <c r="J479" s="7"/>
      <c r="K479" s="7"/>
    </row>
    <row r="480">
      <c r="A480" s="7"/>
      <c r="B480" s="7"/>
      <c r="C480" s="7"/>
      <c r="D480" s="7"/>
      <c r="E480" s="7"/>
      <c r="F480" s="7"/>
      <c r="G480" s="7"/>
      <c r="H480" s="7"/>
      <c r="I480" s="7"/>
      <c r="J480" s="7"/>
      <c r="K480" s="7"/>
    </row>
    <row r="481">
      <c r="A481" s="7"/>
      <c r="B481" s="7"/>
      <c r="C481" s="7"/>
      <c r="D481" s="7"/>
      <c r="E481" s="7"/>
      <c r="F481" s="7"/>
      <c r="G481" s="7"/>
      <c r="H481" s="7"/>
      <c r="I481" s="7"/>
      <c r="J481" s="7"/>
      <c r="K481" s="7"/>
    </row>
    <row r="482">
      <c r="A482" s="7"/>
      <c r="B482" s="7"/>
      <c r="C482" s="7"/>
      <c r="D482" s="7"/>
      <c r="E482" s="7"/>
      <c r="F482" s="7"/>
      <c r="G482" s="7"/>
      <c r="H482" s="7"/>
      <c r="I482" s="7"/>
      <c r="J482" s="7"/>
      <c r="K482" s="7"/>
    </row>
    <row r="483">
      <c r="A483" s="7"/>
      <c r="B483" s="7"/>
      <c r="C483" s="7"/>
      <c r="D483" s="7"/>
      <c r="E483" s="7"/>
      <c r="F483" s="7"/>
      <c r="G483" s="7"/>
      <c r="H483" s="7"/>
      <c r="I483" s="7"/>
      <c r="J483" s="7"/>
      <c r="K483" s="7"/>
    </row>
    <row r="484">
      <c r="A484" s="7"/>
      <c r="B484" s="7"/>
      <c r="C484" s="7"/>
      <c r="D484" s="7"/>
      <c r="E484" s="7"/>
      <c r="F484" s="7"/>
      <c r="G484" s="7"/>
      <c r="H484" s="7"/>
      <c r="I484" s="7"/>
      <c r="J484" s="7"/>
      <c r="K484" s="7"/>
    </row>
    <row r="485">
      <c r="A485" s="7"/>
      <c r="B485" s="7"/>
      <c r="C485" s="7"/>
      <c r="D485" s="7"/>
      <c r="E485" s="7"/>
      <c r="F485" s="7"/>
      <c r="G485" s="7"/>
      <c r="H485" s="7"/>
      <c r="I485" s="7"/>
      <c r="J485" s="7"/>
      <c r="K485" s="7"/>
    </row>
    <row r="486">
      <c r="A486" s="7"/>
      <c r="B486" s="7"/>
      <c r="C486" s="7"/>
      <c r="D486" s="7"/>
      <c r="E486" s="7"/>
      <c r="F486" s="7"/>
      <c r="G486" s="7"/>
      <c r="H486" s="7"/>
      <c r="I486" s="7"/>
      <c r="J486" s="7"/>
      <c r="K486" s="7"/>
    </row>
    <row r="487">
      <c r="A487" s="7"/>
      <c r="B487" s="7"/>
      <c r="C487" s="7"/>
      <c r="D487" s="7"/>
      <c r="E487" s="7"/>
      <c r="F487" s="7"/>
      <c r="G487" s="7"/>
      <c r="H487" s="7"/>
      <c r="I487" s="7"/>
      <c r="J487" s="7"/>
      <c r="K487" s="7"/>
    </row>
    <row r="488">
      <c r="A488" s="7"/>
      <c r="B488" s="7"/>
      <c r="C488" s="7"/>
      <c r="D488" s="7"/>
      <c r="E488" s="7"/>
      <c r="F488" s="7"/>
      <c r="G488" s="7"/>
      <c r="H488" s="7"/>
      <c r="I488" s="7"/>
      <c r="J488" s="7"/>
      <c r="K488" s="7"/>
    </row>
    <row r="489">
      <c r="A489" s="7"/>
      <c r="B489" s="7"/>
      <c r="C489" s="7"/>
      <c r="D489" s="7"/>
      <c r="E489" s="7"/>
      <c r="F489" s="7"/>
      <c r="G489" s="7"/>
      <c r="H489" s="7"/>
      <c r="I489" s="7"/>
      <c r="J489" s="7"/>
      <c r="K489" s="7"/>
    </row>
    <row r="490">
      <c r="A490" s="7"/>
      <c r="B490" s="7"/>
      <c r="C490" s="7"/>
      <c r="D490" s="7"/>
      <c r="E490" s="7"/>
      <c r="F490" s="7"/>
      <c r="G490" s="7"/>
      <c r="H490" s="7"/>
      <c r="I490" s="7"/>
      <c r="J490" s="7"/>
      <c r="K490" s="7"/>
    </row>
    <row r="491">
      <c r="A491" s="7"/>
      <c r="B491" s="7"/>
      <c r="C491" s="7"/>
      <c r="D491" s="7"/>
      <c r="E491" s="7"/>
      <c r="F491" s="7"/>
      <c r="G491" s="7"/>
      <c r="H491" s="7"/>
      <c r="I491" s="7"/>
      <c r="J491" s="7"/>
      <c r="K491" s="7"/>
    </row>
    <row r="492">
      <c r="A492" s="7"/>
      <c r="B492" s="7"/>
      <c r="C492" s="7"/>
      <c r="D492" s="7"/>
      <c r="E492" s="7"/>
      <c r="F492" s="7"/>
      <c r="G492" s="7"/>
      <c r="H492" s="7"/>
      <c r="I492" s="7"/>
      <c r="J492" s="7"/>
      <c r="K492" s="7"/>
    </row>
    <row r="493">
      <c r="A493" s="7"/>
      <c r="B493" s="7"/>
      <c r="C493" s="7"/>
      <c r="D493" s="7"/>
      <c r="E493" s="7"/>
      <c r="F493" s="7"/>
      <c r="G493" s="7"/>
      <c r="H493" s="7"/>
      <c r="I493" s="7"/>
      <c r="J493" s="7"/>
      <c r="K493" s="7"/>
    </row>
    <row r="494">
      <c r="A494" s="7"/>
      <c r="B494" s="7"/>
      <c r="C494" s="7"/>
      <c r="D494" s="7"/>
      <c r="E494" s="7"/>
      <c r="F494" s="7"/>
      <c r="G494" s="7"/>
      <c r="H494" s="7"/>
      <c r="I494" s="7"/>
      <c r="J494" s="7"/>
      <c r="K494" s="7"/>
    </row>
    <row r="495">
      <c r="A495" s="7"/>
      <c r="B495" s="7"/>
      <c r="C495" s="7"/>
      <c r="D495" s="7"/>
      <c r="E495" s="7"/>
      <c r="F495" s="7"/>
      <c r="G495" s="7"/>
      <c r="H495" s="7"/>
      <c r="I495" s="7"/>
      <c r="J495" s="7"/>
      <c r="K495" s="7"/>
    </row>
    <row r="496">
      <c r="A496" s="7"/>
      <c r="B496" s="7"/>
      <c r="C496" s="7"/>
      <c r="D496" s="7"/>
      <c r="E496" s="7"/>
      <c r="F496" s="7"/>
      <c r="G496" s="7"/>
      <c r="H496" s="7"/>
      <c r="I496" s="7"/>
      <c r="J496" s="7"/>
      <c r="K496" s="7"/>
    </row>
    <row r="497">
      <c r="A497" s="7"/>
      <c r="B497" s="7"/>
      <c r="C497" s="7"/>
      <c r="D497" s="7"/>
      <c r="E497" s="7"/>
      <c r="F497" s="7"/>
      <c r="G497" s="7"/>
      <c r="H497" s="7"/>
      <c r="I497" s="7"/>
      <c r="J497" s="7"/>
      <c r="K497" s="7"/>
    </row>
    <row r="498">
      <c r="A498" s="7"/>
      <c r="B498" s="7"/>
      <c r="C498" s="7"/>
      <c r="D498" s="7"/>
      <c r="E498" s="7"/>
      <c r="F498" s="7"/>
      <c r="G498" s="7"/>
      <c r="H498" s="7"/>
      <c r="I498" s="7"/>
      <c r="J498" s="7"/>
      <c r="K498" s="7"/>
    </row>
    <row r="499">
      <c r="A499" s="7"/>
      <c r="B499" s="7"/>
      <c r="C499" s="7"/>
      <c r="D499" s="7"/>
      <c r="E499" s="7"/>
      <c r="F499" s="7"/>
      <c r="G499" s="7"/>
      <c r="H499" s="7"/>
      <c r="I499" s="7"/>
      <c r="J499" s="7"/>
      <c r="K499" s="7"/>
    </row>
    <row r="500">
      <c r="A500" s="7"/>
      <c r="B500" s="7"/>
      <c r="C500" s="7"/>
      <c r="D500" s="7"/>
      <c r="E500" s="7"/>
      <c r="F500" s="7"/>
      <c r="G500" s="7"/>
      <c r="H500" s="7"/>
      <c r="I500" s="7"/>
      <c r="J500" s="7"/>
      <c r="K500" s="7"/>
    </row>
    <row r="501">
      <c r="A501" s="7"/>
      <c r="B501" s="7"/>
      <c r="C501" s="7"/>
      <c r="D501" s="7"/>
      <c r="E501" s="7"/>
      <c r="F501" s="7"/>
      <c r="G501" s="7"/>
      <c r="H501" s="7"/>
      <c r="I501" s="7"/>
      <c r="J501" s="7"/>
      <c r="K501" s="7"/>
    </row>
    <row r="502">
      <c r="A502" s="7"/>
      <c r="B502" s="7"/>
      <c r="C502" s="7"/>
      <c r="D502" s="7"/>
      <c r="E502" s="7"/>
      <c r="F502" s="7"/>
      <c r="G502" s="7"/>
      <c r="H502" s="7"/>
      <c r="I502" s="7"/>
      <c r="J502" s="7"/>
      <c r="K502" s="7"/>
    </row>
    <row r="503">
      <c r="A503" s="7"/>
      <c r="B503" s="7"/>
      <c r="C503" s="7"/>
      <c r="D503" s="7"/>
      <c r="E503" s="7"/>
      <c r="F503" s="7"/>
      <c r="G503" s="7"/>
      <c r="H503" s="7"/>
      <c r="I503" s="7"/>
      <c r="J503" s="7"/>
      <c r="K503" s="7"/>
    </row>
    <row r="504">
      <c r="A504" s="7"/>
      <c r="B504" s="7"/>
      <c r="C504" s="7"/>
      <c r="D504" s="7"/>
      <c r="E504" s="7"/>
      <c r="F504" s="7"/>
      <c r="G504" s="7"/>
      <c r="H504" s="7"/>
      <c r="I504" s="7"/>
      <c r="J504" s="7"/>
      <c r="K504" s="7"/>
    </row>
    <row r="505">
      <c r="A505" s="7"/>
      <c r="B505" s="7"/>
      <c r="C505" s="7"/>
      <c r="D505" s="7"/>
      <c r="E505" s="7"/>
      <c r="F505" s="7"/>
      <c r="G505" s="7"/>
      <c r="H505" s="7"/>
      <c r="I505" s="7"/>
      <c r="J505" s="7"/>
      <c r="K505" s="7"/>
    </row>
    <row r="506">
      <c r="A506" s="7"/>
      <c r="B506" s="7"/>
      <c r="C506" s="7"/>
      <c r="D506" s="7"/>
      <c r="E506" s="7"/>
      <c r="F506" s="7"/>
      <c r="G506" s="7"/>
      <c r="H506" s="7"/>
      <c r="I506" s="7"/>
      <c r="J506" s="7"/>
      <c r="K506" s="7"/>
    </row>
    <row r="507">
      <c r="A507" s="7"/>
      <c r="B507" s="7"/>
      <c r="C507" s="7"/>
      <c r="D507" s="7"/>
      <c r="E507" s="7"/>
      <c r="F507" s="7"/>
      <c r="G507" s="7"/>
      <c r="H507" s="7"/>
      <c r="I507" s="7"/>
      <c r="J507" s="7"/>
      <c r="K507" s="7"/>
    </row>
    <row r="508">
      <c r="A508" s="7"/>
      <c r="B508" s="7"/>
      <c r="C508" s="7"/>
      <c r="D508" s="7"/>
      <c r="E508" s="7"/>
      <c r="F508" s="7"/>
      <c r="G508" s="7"/>
      <c r="H508" s="7"/>
      <c r="I508" s="7"/>
      <c r="J508" s="7"/>
      <c r="K508" s="7"/>
    </row>
    <row r="509">
      <c r="A509" s="7"/>
      <c r="B509" s="7"/>
      <c r="C509" s="7"/>
      <c r="D509" s="7"/>
      <c r="E509" s="7"/>
      <c r="F509" s="7"/>
      <c r="G509" s="7"/>
      <c r="H509" s="7"/>
      <c r="I509" s="7"/>
      <c r="J509" s="7"/>
      <c r="K509" s="7"/>
    </row>
    <row r="510">
      <c r="A510" s="7"/>
      <c r="B510" s="7"/>
      <c r="C510" s="7"/>
      <c r="D510" s="7"/>
      <c r="E510" s="7"/>
      <c r="F510" s="7"/>
      <c r="G510" s="7"/>
      <c r="H510" s="7"/>
      <c r="I510" s="7"/>
      <c r="J510" s="7"/>
      <c r="K510" s="7"/>
    </row>
    <row r="511">
      <c r="A511" s="7"/>
      <c r="B511" s="7"/>
      <c r="C511" s="7"/>
      <c r="D511" s="7"/>
      <c r="E511" s="7"/>
      <c r="F511" s="7"/>
      <c r="G511" s="7"/>
      <c r="H511" s="7"/>
      <c r="I511" s="7"/>
      <c r="J511" s="7"/>
      <c r="K511" s="7"/>
    </row>
    <row r="512">
      <c r="A512" s="7"/>
      <c r="B512" s="7"/>
      <c r="C512" s="7"/>
      <c r="D512" s="7"/>
      <c r="E512" s="7"/>
      <c r="F512" s="7"/>
      <c r="G512" s="7"/>
      <c r="H512" s="7"/>
      <c r="I512" s="7"/>
      <c r="J512" s="7"/>
      <c r="K512" s="7"/>
    </row>
    <row r="513">
      <c r="A513" s="7"/>
      <c r="B513" s="7"/>
      <c r="C513" s="7"/>
      <c r="D513" s="7"/>
      <c r="E513" s="7"/>
      <c r="F513" s="7"/>
      <c r="G513" s="7"/>
      <c r="H513" s="7"/>
      <c r="I513" s="7"/>
      <c r="J513" s="7"/>
      <c r="K513" s="7"/>
    </row>
    <row r="514">
      <c r="A514" s="7"/>
      <c r="B514" s="7"/>
      <c r="C514" s="7"/>
      <c r="D514" s="7"/>
      <c r="E514" s="7"/>
      <c r="F514" s="7"/>
      <c r="G514" s="7"/>
      <c r="H514" s="7"/>
      <c r="I514" s="7"/>
      <c r="J514" s="7"/>
      <c r="K514" s="7"/>
    </row>
    <row r="515">
      <c r="A515" s="7"/>
      <c r="B515" s="7"/>
      <c r="C515" s="7"/>
      <c r="D515" s="7"/>
      <c r="E515" s="7"/>
      <c r="F515" s="7"/>
      <c r="G515" s="7"/>
      <c r="H515" s="7"/>
      <c r="I515" s="7"/>
      <c r="J515" s="7"/>
      <c r="K515" s="7"/>
    </row>
    <row r="516">
      <c r="A516" s="7"/>
      <c r="B516" s="7"/>
      <c r="C516" s="7"/>
      <c r="D516" s="7"/>
      <c r="E516" s="7"/>
      <c r="F516" s="7"/>
      <c r="G516" s="7"/>
      <c r="H516" s="7"/>
      <c r="I516" s="7"/>
      <c r="J516" s="7"/>
      <c r="K516" s="7"/>
    </row>
    <row r="517">
      <c r="A517" s="7"/>
      <c r="B517" s="7"/>
      <c r="C517" s="7"/>
      <c r="D517" s="7"/>
      <c r="E517" s="7"/>
      <c r="F517" s="7"/>
      <c r="G517" s="7"/>
      <c r="H517" s="7"/>
      <c r="I517" s="7"/>
      <c r="J517" s="7"/>
      <c r="K517" s="7"/>
    </row>
    <row r="518">
      <c r="A518" s="7"/>
      <c r="B518" s="7"/>
      <c r="C518" s="7"/>
      <c r="D518" s="7"/>
      <c r="E518" s="7"/>
      <c r="F518" s="7"/>
      <c r="G518" s="7"/>
      <c r="H518" s="7"/>
      <c r="I518" s="7"/>
      <c r="J518" s="7"/>
      <c r="K518" s="7"/>
    </row>
    <row r="519">
      <c r="A519" s="7"/>
      <c r="B519" s="7"/>
      <c r="C519" s="7"/>
      <c r="D519" s="7"/>
      <c r="E519" s="7"/>
      <c r="F519" s="7"/>
      <c r="G519" s="7"/>
      <c r="H519" s="7"/>
      <c r="I519" s="7"/>
      <c r="J519" s="7"/>
      <c r="K519" s="7"/>
    </row>
    <row r="520">
      <c r="A520" s="7"/>
      <c r="B520" s="7"/>
      <c r="C520" s="7"/>
      <c r="D520" s="7"/>
      <c r="E520" s="7"/>
      <c r="F520" s="7"/>
      <c r="G520" s="7"/>
      <c r="H520" s="7"/>
      <c r="I520" s="7"/>
      <c r="J520" s="7"/>
      <c r="K520" s="7"/>
    </row>
    <row r="521">
      <c r="A521" s="7"/>
      <c r="B521" s="7"/>
      <c r="C521" s="7"/>
      <c r="D521" s="7"/>
      <c r="E521" s="7"/>
      <c r="F521" s="7"/>
      <c r="G521" s="7"/>
      <c r="H521" s="7"/>
      <c r="I521" s="7"/>
      <c r="J521" s="7"/>
      <c r="K521" s="7"/>
    </row>
    <row r="522">
      <c r="A522" s="7"/>
      <c r="B522" s="7"/>
      <c r="C522" s="7"/>
      <c r="D522" s="7"/>
      <c r="E522" s="7"/>
      <c r="F522" s="7"/>
      <c r="G522" s="7"/>
      <c r="H522" s="7"/>
      <c r="I522" s="7"/>
      <c r="J522" s="7"/>
      <c r="K522" s="7"/>
    </row>
    <row r="523">
      <c r="A523" s="7"/>
      <c r="B523" s="7"/>
      <c r="C523" s="7"/>
      <c r="D523" s="7"/>
      <c r="E523" s="7"/>
      <c r="F523" s="7"/>
      <c r="G523" s="7"/>
      <c r="H523" s="7"/>
      <c r="I523" s="7"/>
      <c r="J523" s="7"/>
      <c r="K523" s="7"/>
    </row>
    <row r="524">
      <c r="A524" s="7"/>
      <c r="B524" s="7"/>
      <c r="C524" s="7"/>
      <c r="D524" s="7"/>
      <c r="E524" s="7"/>
      <c r="F524" s="7"/>
      <c r="G524" s="7"/>
      <c r="H524" s="7"/>
      <c r="I524" s="7"/>
      <c r="J524" s="7"/>
      <c r="K524" s="7"/>
    </row>
    <row r="525">
      <c r="A525" s="7"/>
      <c r="B525" s="7"/>
      <c r="C525" s="7"/>
      <c r="D525" s="7"/>
      <c r="E525" s="7"/>
      <c r="F525" s="7"/>
      <c r="G525" s="7"/>
      <c r="H525" s="7"/>
      <c r="I525" s="7"/>
      <c r="J525" s="7"/>
      <c r="K525" s="7"/>
    </row>
    <row r="526">
      <c r="A526" s="7"/>
      <c r="B526" s="7"/>
      <c r="C526" s="7"/>
      <c r="D526" s="7"/>
      <c r="E526" s="7"/>
      <c r="F526" s="7"/>
      <c r="G526" s="7"/>
      <c r="H526" s="7"/>
      <c r="I526" s="7"/>
      <c r="J526" s="7"/>
      <c r="K526" s="7"/>
    </row>
    <row r="527">
      <c r="A527" s="7"/>
      <c r="B527" s="7"/>
      <c r="C527" s="7"/>
      <c r="D527" s="7"/>
      <c r="E527" s="7"/>
      <c r="F527" s="7"/>
      <c r="G527" s="7"/>
      <c r="H527" s="7"/>
      <c r="I527" s="7"/>
      <c r="J527" s="7"/>
      <c r="K527" s="7"/>
    </row>
    <row r="528">
      <c r="A528" s="7"/>
      <c r="B528" s="7"/>
      <c r="C528" s="7"/>
      <c r="D528" s="7"/>
      <c r="E528" s="7"/>
      <c r="F528" s="7"/>
      <c r="G528" s="7"/>
      <c r="H528" s="7"/>
      <c r="I528" s="7"/>
      <c r="J528" s="7"/>
      <c r="K528" s="7"/>
    </row>
    <row r="529">
      <c r="A529" s="7"/>
      <c r="B529" s="7"/>
      <c r="C529" s="7"/>
      <c r="D529" s="7"/>
      <c r="E529" s="7"/>
      <c r="F529" s="7"/>
      <c r="G529" s="7"/>
      <c r="H529" s="7"/>
      <c r="I529" s="7"/>
      <c r="J529" s="7"/>
      <c r="K529" s="7"/>
    </row>
    <row r="530">
      <c r="A530" s="7"/>
      <c r="B530" s="7"/>
      <c r="C530" s="7"/>
      <c r="D530" s="7"/>
      <c r="E530" s="7"/>
      <c r="F530" s="7"/>
      <c r="G530" s="7"/>
      <c r="H530" s="7"/>
      <c r="I530" s="7"/>
      <c r="J530" s="7"/>
      <c r="K530" s="7"/>
    </row>
    <row r="531">
      <c r="A531" s="7"/>
      <c r="B531" s="7"/>
      <c r="C531" s="7"/>
      <c r="D531" s="7"/>
      <c r="E531" s="7"/>
      <c r="F531" s="7"/>
      <c r="G531" s="7"/>
      <c r="H531" s="7"/>
      <c r="I531" s="7"/>
      <c r="J531" s="7"/>
      <c r="K531" s="7"/>
    </row>
    <row r="532">
      <c r="A532" s="7"/>
      <c r="B532" s="7"/>
      <c r="C532" s="7"/>
      <c r="D532" s="7"/>
      <c r="E532" s="7"/>
      <c r="F532" s="7"/>
      <c r="G532" s="7"/>
      <c r="H532" s="7"/>
      <c r="I532" s="7"/>
      <c r="J532" s="7"/>
      <c r="K532" s="7"/>
    </row>
    <row r="533">
      <c r="A533" s="7"/>
      <c r="B533" s="7"/>
      <c r="C533" s="7"/>
      <c r="D533" s="7"/>
      <c r="E533" s="7"/>
      <c r="F533" s="7"/>
      <c r="G533" s="7"/>
      <c r="H533" s="7"/>
      <c r="I533" s="7"/>
      <c r="J533" s="7"/>
      <c r="K533" s="7"/>
    </row>
    <row r="534">
      <c r="A534" s="7"/>
      <c r="B534" s="7"/>
      <c r="C534" s="7"/>
      <c r="D534" s="7"/>
      <c r="E534" s="7"/>
      <c r="F534" s="7"/>
      <c r="G534" s="7"/>
      <c r="H534" s="7"/>
      <c r="I534" s="7"/>
      <c r="J534" s="7"/>
      <c r="K534" s="7"/>
    </row>
    <row r="535">
      <c r="A535" s="7"/>
      <c r="B535" s="7"/>
      <c r="C535" s="7"/>
      <c r="D535" s="7"/>
      <c r="E535" s="7"/>
      <c r="F535" s="7"/>
      <c r="G535" s="7"/>
      <c r="H535" s="7"/>
      <c r="I535" s="7"/>
      <c r="J535" s="7"/>
      <c r="K535" s="7"/>
    </row>
    <row r="536">
      <c r="A536" s="7"/>
      <c r="B536" s="7"/>
      <c r="C536" s="7"/>
      <c r="D536" s="7"/>
      <c r="E536" s="7"/>
      <c r="F536" s="7"/>
      <c r="G536" s="7"/>
      <c r="H536" s="7"/>
      <c r="I536" s="7"/>
      <c r="J536" s="7"/>
      <c r="K536" s="7"/>
    </row>
    <row r="537">
      <c r="A537" s="7"/>
      <c r="B537" s="7"/>
      <c r="C537" s="7"/>
      <c r="D537" s="7"/>
      <c r="E537" s="7"/>
      <c r="F537" s="7"/>
      <c r="G537" s="7"/>
      <c r="H537" s="7"/>
      <c r="I537" s="7"/>
      <c r="J537" s="7"/>
      <c r="K537" s="7"/>
    </row>
    <row r="538">
      <c r="A538" s="7"/>
      <c r="B538" s="7"/>
      <c r="C538" s="7"/>
      <c r="D538" s="7"/>
      <c r="E538" s="7"/>
      <c r="F538" s="7"/>
      <c r="G538" s="7"/>
      <c r="H538" s="7"/>
      <c r="I538" s="7"/>
      <c r="J538" s="7"/>
      <c r="K538" s="7"/>
    </row>
    <row r="539">
      <c r="A539" s="7"/>
      <c r="B539" s="7"/>
      <c r="C539" s="7"/>
      <c r="D539" s="7"/>
      <c r="E539" s="7"/>
      <c r="F539" s="7"/>
      <c r="G539" s="7"/>
      <c r="H539" s="7"/>
      <c r="I539" s="7"/>
      <c r="J539" s="7"/>
      <c r="K539" s="7"/>
    </row>
    <row r="540">
      <c r="A540" s="7"/>
      <c r="B540" s="7"/>
      <c r="C540" s="7"/>
      <c r="D540" s="7"/>
      <c r="E540" s="7"/>
      <c r="F540" s="7"/>
      <c r="G540" s="7"/>
      <c r="H540" s="7"/>
      <c r="I540" s="7"/>
      <c r="J540" s="7"/>
      <c r="K540" s="7"/>
    </row>
    <row r="541">
      <c r="A541" s="7"/>
      <c r="B541" s="7"/>
      <c r="C541" s="7"/>
      <c r="D541" s="7"/>
      <c r="E541" s="7"/>
      <c r="F541" s="7"/>
      <c r="G541" s="7"/>
      <c r="H541" s="7"/>
      <c r="I541" s="7"/>
      <c r="J541" s="7"/>
      <c r="K541" s="7"/>
    </row>
    <row r="542">
      <c r="A542" s="7"/>
      <c r="B542" s="7"/>
      <c r="C542" s="7"/>
      <c r="D542" s="7"/>
      <c r="E542" s="7"/>
      <c r="F542" s="7"/>
      <c r="G542" s="7"/>
      <c r="H542" s="7"/>
      <c r="I542" s="7"/>
      <c r="J542" s="7"/>
      <c r="K542" s="7"/>
    </row>
    <row r="543">
      <c r="A543" s="7"/>
      <c r="B543" s="7"/>
      <c r="C543" s="7"/>
      <c r="D543" s="7"/>
      <c r="E543" s="7"/>
      <c r="F543" s="7"/>
      <c r="G543" s="7"/>
      <c r="H543" s="7"/>
      <c r="I543" s="7"/>
      <c r="J543" s="7"/>
      <c r="K543" s="7"/>
    </row>
    <row r="544">
      <c r="A544" s="7"/>
      <c r="B544" s="7"/>
      <c r="C544" s="7"/>
      <c r="D544" s="7"/>
      <c r="E544" s="7"/>
      <c r="F544" s="7"/>
      <c r="G544" s="7"/>
      <c r="H544" s="7"/>
      <c r="I544" s="7"/>
      <c r="J544" s="7"/>
      <c r="K544" s="7"/>
    </row>
    <row r="545">
      <c r="A545" s="7"/>
      <c r="B545" s="7"/>
      <c r="C545" s="7"/>
      <c r="D545" s="7"/>
      <c r="E545" s="7"/>
      <c r="F545" s="7"/>
      <c r="G545" s="7"/>
      <c r="H545" s="7"/>
      <c r="I545" s="7"/>
      <c r="J545" s="7"/>
      <c r="K545" s="7"/>
    </row>
    <row r="546">
      <c r="A546" s="7"/>
      <c r="B546" s="7"/>
      <c r="C546" s="7"/>
      <c r="D546" s="7"/>
      <c r="E546" s="7"/>
      <c r="F546" s="7"/>
      <c r="G546" s="7"/>
      <c r="H546" s="7"/>
      <c r="I546" s="7"/>
      <c r="J546" s="7"/>
      <c r="K546" s="7"/>
    </row>
    <row r="547">
      <c r="A547" s="7"/>
      <c r="B547" s="7"/>
      <c r="C547" s="7"/>
      <c r="D547" s="7"/>
      <c r="E547" s="7"/>
      <c r="F547" s="7"/>
      <c r="G547" s="7"/>
      <c r="H547" s="7"/>
      <c r="I547" s="7"/>
      <c r="J547" s="7"/>
      <c r="K547" s="7"/>
    </row>
    <row r="548">
      <c r="A548" s="7"/>
      <c r="B548" s="7"/>
      <c r="C548" s="7"/>
      <c r="D548" s="7"/>
      <c r="E548" s="7"/>
      <c r="F548" s="7"/>
      <c r="G548" s="7"/>
      <c r="H548" s="7"/>
      <c r="I548" s="7"/>
      <c r="J548" s="7"/>
      <c r="K548" s="7"/>
    </row>
    <row r="549">
      <c r="A549" s="7"/>
      <c r="B549" s="7"/>
      <c r="C549" s="7"/>
      <c r="D549" s="7"/>
      <c r="E549" s="7"/>
      <c r="F549" s="7"/>
      <c r="G549" s="7"/>
      <c r="H549" s="7"/>
      <c r="I549" s="7"/>
      <c r="J549" s="7"/>
      <c r="K549" s="7"/>
    </row>
    <row r="550">
      <c r="A550" s="7"/>
      <c r="B550" s="7"/>
      <c r="C550" s="7"/>
      <c r="D550" s="7"/>
      <c r="E550" s="7"/>
      <c r="F550" s="7"/>
      <c r="G550" s="7"/>
      <c r="H550" s="7"/>
      <c r="I550" s="7"/>
      <c r="J550" s="7"/>
      <c r="K550" s="7"/>
    </row>
    <row r="551">
      <c r="A551" s="7"/>
      <c r="B551" s="7"/>
      <c r="C551" s="7"/>
      <c r="D551" s="7"/>
      <c r="E551" s="7"/>
      <c r="F551" s="7"/>
      <c r="G551" s="7"/>
      <c r="H551" s="7"/>
      <c r="I551" s="7"/>
      <c r="J551" s="7"/>
      <c r="K551" s="7"/>
    </row>
    <row r="552">
      <c r="A552" s="7"/>
      <c r="B552" s="7"/>
      <c r="C552" s="7"/>
      <c r="D552" s="7"/>
      <c r="E552" s="7"/>
      <c r="F552" s="7"/>
      <c r="G552" s="7"/>
      <c r="H552" s="7"/>
      <c r="I552" s="7"/>
      <c r="J552" s="7"/>
      <c r="K552" s="7"/>
    </row>
    <row r="553">
      <c r="A553" s="7"/>
      <c r="B553" s="7"/>
      <c r="C553" s="7"/>
      <c r="D553" s="7"/>
      <c r="E553" s="7"/>
      <c r="F553" s="7"/>
      <c r="G553" s="7"/>
      <c r="H553" s="7"/>
      <c r="I553" s="7"/>
      <c r="J553" s="7"/>
      <c r="K553" s="7"/>
    </row>
    <row r="554">
      <c r="A554" s="7"/>
      <c r="B554" s="7"/>
      <c r="C554" s="7"/>
      <c r="D554" s="7"/>
      <c r="E554" s="7"/>
      <c r="F554" s="7"/>
      <c r="G554" s="7"/>
      <c r="H554" s="7"/>
      <c r="I554" s="7"/>
      <c r="J554" s="7"/>
      <c r="K554" s="7"/>
    </row>
    <row r="555">
      <c r="A555" s="7"/>
      <c r="B555" s="7"/>
      <c r="C555" s="7"/>
      <c r="D555" s="7"/>
      <c r="E555" s="7"/>
      <c r="F555" s="7"/>
      <c r="G555" s="7"/>
      <c r="H555" s="7"/>
      <c r="I555" s="7"/>
      <c r="J555" s="7"/>
      <c r="K555" s="7"/>
    </row>
    <row r="556">
      <c r="A556" s="7"/>
      <c r="B556" s="7"/>
      <c r="C556" s="7"/>
      <c r="D556" s="7"/>
      <c r="E556" s="7"/>
      <c r="F556" s="7"/>
      <c r="G556" s="7"/>
      <c r="H556" s="7"/>
      <c r="I556" s="7"/>
      <c r="J556" s="7"/>
      <c r="K556" s="7"/>
    </row>
    <row r="557">
      <c r="A557" s="7"/>
      <c r="B557" s="7"/>
      <c r="C557" s="7"/>
      <c r="D557" s="7"/>
      <c r="E557" s="7"/>
      <c r="F557" s="7"/>
      <c r="G557" s="7"/>
      <c r="H557" s="7"/>
      <c r="I557" s="7"/>
      <c r="J557" s="7"/>
      <c r="K557" s="7"/>
    </row>
    <row r="558">
      <c r="A558" s="7"/>
      <c r="B558" s="7"/>
      <c r="C558" s="7"/>
      <c r="D558" s="7"/>
      <c r="E558" s="7"/>
      <c r="F558" s="7"/>
      <c r="G558" s="7"/>
      <c r="H558" s="7"/>
      <c r="I558" s="7"/>
      <c r="J558" s="7"/>
      <c r="K558" s="7"/>
    </row>
    <row r="559">
      <c r="A559" s="7"/>
      <c r="B559" s="7"/>
      <c r="C559" s="7"/>
      <c r="D559" s="7"/>
      <c r="E559" s="7"/>
      <c r="F559" s="7"/>
      <c r="G559" s="7"/>
      <c r="H559" s="7"/>
      <c r="I559" s="7"/>
      <c r="J559" s="7"/>
      <c r="K559" s="7"/>
    </row>
    <row r="560">
      <c r="A560" s="7"/>
      <c r="B560" s="7"/>
      <c r="C560" s="7"/>
      <c r="D560" s="7"/>
      <c r="E560" s="7"/>
      <c r="F560" s="7"/>
      <c r="G560" s="7"/>
      <c r="H560" s="7"/>
      <c r="I560" s="7"/>
      <c r="J560" s="7"/>
      <c r="K560" s="7"/>
    </row>
    <row r="561">
      <c r="A561" s="7"/>
      <c r="B561" s="7"/>
      <c r="C561" s="7"/>
      <c r="D561" s="7"/>
      <c r="E561" s="7"/>
      <c r="F561" s="7"/>
      <c r="G561" s="7"/>
      <c r="H561" s="7"/>
      <c r="I561" s="7"/>
      <c r="J561" s="7"/>
      <c r="K561" s="7"/>
    </row>
    <row r="562">
      <c r="A562" s="7"/>
      <c r="B562" s="7"/>
      <c r="C562" s="7"/>
      <c r="D562" s="7"/>
      <c r="E562" s="7"/>
      <c r="F562" s="7"/>
      <c r="G562" s="7"/>
      <c r="H562" s="7"/>
      <c r="I562" s="7"/>
      <c r="J562" s="7"/>
      <c r="K562" s="7"/>
    </row>
    <row r="563">
      <c r="A563" s="7"/>
      <c r="B563" s="7"/>
      <c r="C563" s="7"/>
      <c r="D563" s="7"/>
      <c r="E563" s="7"/>
      <c r="F563" s="7"/>
      <c r="G563" s="7"/>
      <c r="H563" s="7"/>
      <c r="I563" s="7"/>
      <c r="J563" s="7"/>
      <c r="K563" s="7"/>
    </row>
    <row r="564">
      <c r="A564" s="7"/>
      <c r="B564" s="7"/>
      <c r="C564" s="7"/>
      <c r="D564" s="7"/>
      <c r="E564" s="7"/>
      <c r="F564" s="7"/>
      <c r="G564" s="7"/>
      <c r="H564" s="7"/>
      <c r="I564" s="7"/>
      <c r="J564" s="7"/>
      <c r="K564" s="7"/>
    </row>
    <row r="565">
      <c r="A565" s="7"/>
      <c r="B565" s="7"/>
      <c r="C565" s="7"/>
      <c r="D565" s="7"/>
      <c r="E565" s="7"/>
      <c r="F565" s="7"/>
      <c r="G565" s="7"/>
      <c r="H565" s="7"/>
      <c r="I565" s="7"/>
      <c r="J565" s="7"/>
      <c r="K565" s="7"/>
    </row>
    <row r="566">
      <c r="A566" s="7"/>
      <c r="B566" s="7"/>
      <c r="C566" s="7"/>
      <c r="D566" s="7"/>
      <c r="E566" s="7"/>
      <c r="F566" s="7"/>
      <c r="G566" s="7"/>
      <c r="H566" s="7"/>
      <c r="I566" s="7"/>
      <c r="J566" s="7"/>
      <c r="K566" s="7"/>
    </row>
    <row r="567">
      <c r="A567" s="7"/>
      <c r="B567" s="7"/>
      <c r="C567" s="7"/>
      <c r="D567" s="7"/>
      <c r="E567" s="7"/>
      <c r="F567" s="7"/>
      <c r="G567" s="7"/>
      <c r="H567" s="7"/>
      <c r="I567" s="7"/>
      <c r="J567" s="7"/>
      <c r="K567" s="7"/>
    </row>
    <row r="568">
      <c r="A568" s="7"/>
      <c r="B568" s="7"/>
      <c r="C568" s="7"/>
      <c r="D568" s="7"/>
      <c r="E568" s="7"/>
      <c r="F568" s="7"/>
      <c r="G568" s="7"/>
      <c r="H568" s="7"/>
      <c r="I568" s="7"/>
      <c r="J568" s="7"/>
      <c r="K568" s="7"/>
    </row>
    <row r="569">
      <c r="A569" s="7"/>
      <c r="B569" s="7"/>
      <c r="C569" s="7"/>
      <c r="D569" s="7"/>
      <c r="E569" s="7"/>
      <c r="F569" s="7"/>
      <c r="G569" s="7"/>
      <c r="H569" s="7"/>
      <c r="I569" s="7"/>
      <c r="J569" s="7"/>
      <c r="K569" s="7"/>
    </row>
    <row r="570">
      <c r="A570" s="7"/>
      <c r="B570" s="7"/>
      <c r="C570" s="7"/>
      <c r="D570" s="7"/>
      <c r="E570" s="7"/>
      <c r="F570" s="7"/>
      <c r="G570" s="7"/>
      <c r="H570" s="7"/>
      <c r="I570" s="7"/>
      <c r="J570" s="7"/>
      <c r="K570" s="7"/>
    </row>
    <row r="571">
      <c r="A571" s="7"/>
      <c r="B571" s="7"/>
      <c r="C571" s="7"/>
      <c r="D571" s="7"/>
      <c r="E571" s="7"/>
      <c r="F571" s="7"/>
      <c r="G571" s="7"/>
      <c r="H571" s="7"/>
      <c r="I571" s="7"/>
      <c r="J571" s="7"/>
      <c r="K571" s="7"/>
    </row>
    <row r="572">
      <c r="A572" s="7"/>
      <c r="B572" s="7"/>
      <c r="C572" s="7"/>
      <c r="D572" s="7"/>
      <c r="E572" s="7"/>
      <c r="F572" s="7"/>
      <c r="G572" s="7"/>
      <c r="H572" s="7"/>
      <c r="I572" s="7"/>
      <c r="J572" s="7"/>
      <c r="K572" s="7"/>
    </row>
    <row r="573">
      <c r="A573" s="7"/>
      <c r="B573" s="7"/>
      <c r="C573" s="7"/>
      <c r="D573" s="7"/>
      <c r="E573" s="7"/>
      <c r="F573" s="7"/>
      <c r="G573" s="7"/>
      <c r="H573" s="7"/>
      <c r="I573" s="7"/>
      <c r="J573" s="7"/>
      <c r="K573" s="7"/>
    </row>
    <row r="574">
      <c r="A574" s="7"/>
      <c r="B574" s="7"/>
      <c r="C574" s="7"/>
      <c r="D574" s="7"/>
      <c r="E574" s="7"/>
      <c r="F574" s="7"/>
      <c r="G574" s="7"/>
      <c r="H574" s="7"/>
      <c r="I574" s="7"/>
      <c r="J574" s="7"/>
      <c r="K574" s="7"/>
    </row>
    <row r="575">
      <c r="A575" s="7"/>
      <c r="B575" s="7"/>
      <c r="C575" s="7"/>
      <c r="D575" s="7"/>
      <c r="E575" s="7"/>
      <c r="F575" s="7"/>
      <c r="G575" s="7"/>
      <c r="H575" s="7"/>
      <c r="I575" s="7"/>
      <c r="J575" s="7"/>
      <c r="K575" s="7"/>
    </row>
    <row r="576">
      <c r="A576" s="7"/>
      <c r="B576" s="7"/>
      <c r="C576" s="7"/>
      <c r="D576" s="7"/>
      <c r="E576" s="7"/>
      <c r="F576" s="7"/>
      <c r="G576" s="7"/>
      <c r="H576" s="7"/>
      <c r="I576" s="7"/>
      <c r="J576" s="7"/>
      <c r="K576" s="7"/>
    </row>
    <row r="577">
      <c r="A577" s="7"/>
      <c r="B577" s="7"/>
      <c r="C577" s="7"/>
      <c r="D577" s="7"/>
      <c r="E577" s="7"/>
      <c r="F577" s="7"/>
      <c r="G577" s="7"/>
      <c r="H577" s="7"/>
      <c r="I577" s="7"/>
      <c r="J577" s="7"/>
      <c r="K577" s="7"/>
    </row>
    <row r="578">
      <c r="A578" s="7"/>
      <c r="B578" s="7"/>
      <c r="C578" s="7"/>
      <c r="D578" s="7"/>
      <c r="E578" s="7"/>
      <c r="F578" s="7"/>
      <c r="G578" s="7"/>
      <c r="H578" s="7"/>
      <c r="I578" s="7"/>
      <c r="J578" s="7"/>
      <c r="K578" s="7"/>
    </row>
    <row r="579">
      <c r="A579" s="7"/>
      <c r="B579" s="7"/>
      <c r="C579" s="7"/>
      <c r="D579" s="7"/>
      <c r="E579" s="7"/>
      <c r="F579" s="7"/>
      <c r="G579" s="7"/>
      <c r="H579" s="7"/>
      <c r="I579" s="7"/>
      <c r="J579" s="7"/>
      <c r="K579" s="7"/>
    </row>
    <row r="580">
      <c r="A580" s="7"/>
      <c r="B580" s="7"/>
      <c r="C580" s="7"/>
      <c r="D580" s="7"/>
      <c r="E580" s="7"/>
      <c r="F580" s="7"/>
      <c r="G580" s="7"/>
      <c r="H580" s="7"/>
      <c r="I580" s="7"/>
      <c r="J580" s="7"/>
      <c r="K580" s="7"/>
    </row>
    <row r="581">
      <c r="A581" s="7"/>
      <c r="B581" s="7"/>
      <c r="C581" s="7"/>
      <c r="D581" s="7"/>
      <c r="E581" s="7"/>
      <c r="F581" s="7"/>
      <c r="G581" s="7"/>
      <c r="H581" s="7"/>
      <c r="I581" s="7"/>
      <c r="J581" s="7"/>
      <c r="K581" s="7"/>
    </row>
    <row r="582">
      <c r="A582" s="7"/>
      <c r="B582" s="7"/>
      <c r="C582" s="7"/>
      <c r="D582" s="7"/>
      <c r="E582" s="7"/>
      <c r="F582" s="7"/>
      <c r="G582" s="7"/>
      <c r="H582" s="7"/>
      <c r="I582" s="7"/>
      <c r="J582" s="7"/>
      <c r="K582" s="7"/>
    </row>
    <row r="583">
      <c r="A583" s="7"/>
      <c r="B583" s="7"/>
      <c r="C583" s="7"/>
      <c r="D583" s="7"/>
      <c r="E583" s="7"/>
      <c r="F583" s="7"/>
      <c r="G583" s="7"/>
      <c r="H583" s="7"/>
      <c r="I583" s="7"/>
      <c r="J583" s="7"/>
      <c r="K583" s="7"/>
    </row>
    <row r="584">
      <c r="A584" s="7"/>
      <c r="B584" s="7"/>
      <c r="C584" s="7"/>
      <c r="D584" s="7"/>
      <c r="E584" s="7"/>
      <c r="F584" s="7"/>
      <c r="G584" s="7"/>
      <c r="H584" s="7"/>
      <c r="I584" s="7"/>
      <c r="J584" s="7"/>
      <c r="K584" s="7"/>
    </row>
    <row r="585">
      <c r="A585" s="7"/>
      <c r="B585" s="7"/>
      <c r="C585" s="7"/>
      <c r="D585" s="7"/>
      <c r="E585" s="7"/>
      <c r="F585" s="7"/>
      <c r="G585" s="7"/>
      <c r="H585" s="7"/>
      <c r="I585" s="7"/>
      <c r="J585" s="7"/>
      <c r="K585" s="7"/>
    </row>
    <row r="586">
      <c r="A586" s="7"/>
      <c r="B586" s="7"/>
      <c r="C586" s="7"/>
      <c r="D586" s="7"/>
      <c r="E586" s="7"/>
      <c r="F586" s="7"/>
      <c r="G586" s="7"/>
      <c r="H586" s="7"/>
      <c r="I586" s="7"/>
      <c r="J586" s="7"/>
      <c r="K586" s="7"/>
    </row>
    <row r="587">
      <c r="A587" s="7"/>
      <c r="B587" s="7"/>
      <c r="C587" s="7"/>
      <c r="D587" s="7"/>
      <c r="E587" s="7"/>
      <c r="F587" s="7"/>
      <c r="G587" s="7"/>
      <c r="H587" s="7"/>
      <c r="I587" s="7"/>
      <c r="J587" s="7"/>
      <c r="K587" s="7"/>
    </row>
    <row r="588">
      <c r="A588" s="7"/>
      <c r="B588" s="7"/>
      <c r="C588" s="7"/>
      <c r="D588" s="7"/>
      <c r="E588" s="7"/>
      <c r="F588" s="7"/>
      <c r="G588" s="7"/>
      <c r="H588" s="7"/>
      <c r="I588" s="7"/>
      <c r="J588" s="7"/>
      <c r="K588" s="7"/>
    </row>
    <row r="589">
      <c r="A589" s="7"/>
      <c r="B589" s="7"/>
      <c r="C589" s="7"/>
      <c r="D589" s="7"/>
      <c r="E589" s="7"/>
      <c r="F589" s="7"/>
      <c r="G589" s="7"/>
      <c r="H589" s="7"/>
      <c r="I589" s="7"/>
      <c r="J589" s="7"/>
      <c r="K589" s="7"/>
    </row>
    <row r="590">
      <c r="A590" s="7"/>
      <c r="B590" s="7"/>
      <c r="C590" s="7"/>
      <c r="D590" s="7"/>
      <c r="E590" s="7"/>
      <c r="F590" s="7"/>
      <c r="G590" s="7"/>
      <c r="H590" s="7"/>
      <c r="I590" s="7"/>
      <c r="J590" s="7"/>
      <c r="K590" s="7"/>
    </row>
    <row r="591">
      <c r="A591" s="7"/>
      <c r="B591" s="7"/>
      <c r="C591" s="7"/>
      <c r="D591" s="7"/>
      <c r="E591" s="7"/>
      <c r="F591" s="7"/>
      <c r="G591" s="7"/>
      <c r="H591" s="7"/>
      <c r="I591" s="7"/>
      <c r="J591" s="7"/>
      <c r="K591" s="7"/>
    </row>
    <row r="592">
      <c r="A592" s="7"/>
      <c r="B592" s="7"/>
      <c r="C592" s="7"/>
      <c r="D592" s="7"/>
      <c r="E592" s="7"/>
      <c r="F592" s="7"/>
      <c r="G592" s="7"/>
      <c r="H592" s="7"/>
      <c r="I592" s="7"/>
      <c r="J592" s="7"/>
      <c r="K592" s="7"/>
    </row>
    <row r="593">
      <c r="A593" s="7"/>
      <c r="B593" s="7"/>
      <c r="C593" s="7"/>
      <c r="D593" s="7"/>
      <c r="E593" s="7"/>
      <c r="F593" s="7"/>
      <c r="G593" s="7"/>
      <c r="H593" s="7"/>
      <c r="I593" s="7"/>
      <c r="J593" s="7"/>
      <c r="K593" s="7"/>
    </row>
    <row r="594">
      <c r="A594" s="7"/>
      <c r="B594" s="7"/>
      <c r="C594" s="7"/>
      <c r="D594" s="7"/>
      <c r="E594" s="7"/>
      <c r="F594" s="7"/>
      <c r="G594" s="7"/>
      <c r="H594" s="7"/>
      <c r="I594" s="7"/>
      <c r="J594" s="7"/>
      <c r="K594" s="7"/>
    </row>
    <row r="595">
      <c r="A595" s="7"/>
      <c r="B595" s="7"/>
      <c r="C595" s="7"/>
      <c r="D595" s="7"/>
      <c r="E595" s="7"/>
      <c r="F595" s="7"/>
      <c r="G595" s="7"/>
      <c r="H595" s="7"/>
      <c r="I595" s="7"/>
      <c r="J595" s="7"/>
      <c r="K595" s="7"/>
    </row>
    <row r="596">
      <c r="A596" s="7"/>
      <c r="B596" s="7"/>
      <c r="C596" s="7"/>
      <c r="D596" s="7"/>
      <c r="E596" s="7"/>
      <c r="F596" s="7"/>
      <c r="G596" s="7"/>
      <c r="H596" s="7"/>
      <c r="I596" s="7"/>
      <c r="J596" s="7"/>
      <c r="K596" s="7"/>
    </row>
    <row r="597">
      <c r="A597" s="7"/>
      <c r="B597" s="7"/>
      <c r="C597" s="7"/>
      <c r="D597" s="7"/>
      <c r="E597" s="7"/>
      <c r="F597" s="7"/>
      <c r="G597" s="7"/>
      <c r="H597" s="7"/>
      <c r="I597" s="7"/>
      <c r="J597" s="7"/>
      <c r="K597" s="7"/>
    </row>
    <row r="598">
      <c r="A598" s="7"/>
      <c r="B598" s="7"/>
      <c r="C598" s="7"/>
      <c r="D598" s="7"/>
      <c r="E598" s="7"/>
      <c r="F598" s="7"/>
      <c r="G598" s="7"/>
      <c r="H598" s="7"/>
      <c r="I598" s="7"/>
      <c r="J598" s="7"/>
      <c r="K598" s="7"/>
    </row>
    <row r="599">
      <c r="A599" s="7"/>
      <c r="B599" s="7"/>
      <c r="C599" s="7"/>
      <c r="D599" s="7"/>
      <c r="E599" s="7"/>
      <c r="F599" s="7"/>
      <c r="G599" s="7"/>
      <c r="H599" s="7"/>
      <c r="I599" s="7"/>
      <c r="J599" s="7"/>
      <c r="K599" s="7"/>
    </row>
    <row r="600">
      <c r="A600" s="7"/>
      <c r="B600" s="7"/>
      <c r="C600" s="7"/>
      <c r="D600" s="7"/>
      <c r="E600" s="7"/>
      <c r="F600" s="7"/>
      <c r="G600" s="7"/>
      <c r="H600" s="7"/>
      <c r="I600" s="7"/>
      <c r="J600" s="7"/>
      <c r="K600" s="7"/>
    </row>
    <row r="601">
      <c r="A601" s="7"/>
      <c r="B601" s="7"/>
      <c r="C601" s="7"/>
      <c r="D601" s="7"/>
      <c r="E601" s="7"/>
      <c r="F601" s="7"/>
      <c r="G601" s="7"/>
      <c r="H601" s="7"/>
      <c r="I601" s="7"/>
      <c r="J601" s="7"/>
      <c r="K601" s="7"/>
    </row>
    <row r="602">
      <c r="A602" s="7"/>
      <c r="B602" s="7"/>
      <c r="C602" s="7"/>
      <c r="D602" s="7"/>
      <c r="E602" s="7"/>
      <c r="F602" s="7"/>
      <c r="G602" s="7"/>
      <c r="H602" s="7"/>
      <c r="I602" s="7"/>
      <c r="J602" s="7"/>
      <c r="K602" s="7"/>
    </row>
    <row r="603">
      <c r="A603" s="7"/>
      <c r="B603" s="7"/>
      <c r="C603" s="7"/>
      <c r="D603" s="7"/>
      <c r="E603" s="7"/>
      <c r="F603" s="7"/>
      <c r="G603" s="7"/>
      <c r="H603" s="7"/>
      <c r="I603" s="7"/>
      <c r="J603" s="7"/>
      <c r="K603" s="7"/>
    </row>
    <row r="604">
      <c r="A604" s="7"/>
      <c r="B604" s="7"/>
      <c r="C604" s="7"/>
      <c r="D604" s="7"/>
      <c r="E604" s="7"/>
      <c r="F604" s="7"/>
      <c r="G604" s="7"/>
      <c r="H604" s="7"/>
      <c r="I604" s="7"/>
      <c r="J604" s="7"/>
      <c r="K604" s="7"/>
    </row>
    <row r="605">
      <c r="A605" s="7"/>
      <c r="B605" s="7"/>
      <c r="C605" s="7"/>
      <c r="D605" s="7"/>
      <c r="E605" s="7"/>
      <c r="F605" s="7"/>
      <c r="G605" s="7"/>
      <c r="H605" s="7"/>
      <c r="I605" s="7"/>
      <c r="J605" s="7"/>
      <c r="K605" s="7"/>
    </row>
    <row r="606">
      <c r="A606" s="7"/>
      <c r="B606" s="7"/>
      <c r="C606" s="7"/>
      <c r="D606" s="7"/>
      <c r="E606" s="7"/>
      <c r="F606" s="7"/>
      <c r="G606" s="7"/>
      <c r="H606" s="7"/>
      <c r="I606" s="7"/>
      <c r="J606" s="7"/>
      <c r="K606" s="7"/>
    </row>
    <row r="607">
      <c r="A607" s="7"/>
      <c r="B607" s="7"/>
      <c r="C607" s="7"/>
      <c r="D607" s="7"/>
      <c r="E607" s="7"/>
      <c r="F607" s="7"/>
      <c r="G607" s="7"/>
      <c r="H607" s="7"/>
      <c r="I607" s="7"/>
      <c r="J607" s="7"/>
      <c r="K607" s="7"/>
    </row>
    <row r="608">
      <c r="A608" s="7"/>
      <c r="B608" s="7"/>
      <c r="C608" s="7"/>
      <c r="D608" s="7"/>
      <c r="E608" s="7"/>
      <c r="F608" s="7"/>
      <c r="G608" s="7"/>
      <c r="H608" s="7"/>
      <c r="I608" s="7"/>
      <c r="J608" s="7"/>
      <c r="K608" s="7"/>
    </row>
    <row r="609">
      <c r="A609" s="7"/>
      <c r="B609" s="7"/>
      <c r="C609" s="7"/>
      <c r="D609" s="7"/>
      <c r="E609" s="7"/>
      <c r="F609" s="7"/>
      <c r="G609" s="7"/>
      <c r="H609" s="7"/>
      <c r="I609" s="7"/>
      <c r="J609" s="7"/>
      <c r="K609" s="7"/>
    </row>
    <row r="610">
      <c r="A610" s="7"/>
      <c r="B610" s="7"/>
      <c r="C610" s="7"/>
      <c r="D610" s="7"/>
      <c r="E610" s="7"/>
      <c r="F610" s="7"/>
      <c r="G610" s="7"/>
      <c r="H610" s="7"/>
      <c r="I610" s="7"/>
      <c r="J610" s="7"/>
      <c r="K610" s="7"/>
    </row>
    <row r="611">
      <c r="A611" s="7"/>
      <c r="B611" s="7"/>
      <c r="C611" s="7"/>
      <c r="D611" s="7"/>
      <c r="E611" s="7"/>
      <c r="F611" s="7"/>
      <c r="G611" s="7"/>
      <c r="H611" s="7"/>
      <c r="I611" s="7"/>
      <c r="J611" s="7"/>
      <c r="K611" s="7"/>
    </row>
    <row r="612">
      <c r="A612" s="7"/>
      <c r="B612" s="7"/>
      <c r="C612" s="7"/>
      <c r="D612" s="7"/>
      <c r="E612" s="7"/>
      <c r="F612" s="7"/>
      <c r="G612" s="7"/>
      <c r="H612" s="7"/>
      <c r="I612" s="7"/>
      <c r="J612" s="7"/>
      <c r="K612" s="7"/>
    </row>
    <row r="613">
      <c r="A613" s="7"/>
      <c r="B613" s="7"/>
      <c r="C613" s="7"/>
      <c r="D613" s="7"/>
      <c r="E613" s="7"/>
      <c r="F613" s="7"/>
      <c r="G613" s="7"/>
      <c r="H613" s="7"/>
      <c r="I613" s="7"/>
      <c r="J613" s="7"/>
      <c r="K613" s="7"/>
    </row>
    <row r="614">
      <c r="A614" s="7"/>
      <c r="B614" s="7"/>
      <c r="C614" s="7"/>
      <c r="D614" s="7"/>
      <c r="E614" s="7"/>
      <c r="F614" s="7"/>
      <c r="G614" s="7"/>
      <c r="H614" s="7"/>
      <c r="I614" s="7"/>
      <c r="J614" s="7"/>
      <c r="K614" s="7"/>
    </row>
    <row r="615">
      <c r="A615" s="7"/>
      <c r="B615" s="7"/>
      <c r="C615" s="7"/>
      <c r="D615" s="7"/>
      <c r="E615" s="7"/>
      <c r="F615" s="7"/>
      <c r="G615" s="7"/>
      <c r="H615" s="7"/>
      <c r="I615" s="7"/>
      <c r="J615" s="7"/>
      <c r="K615" s="7"/>
    </row>
    <row r="616">
      <c r="A616" s="7"/>
      <c r="B616" s="7"/>
      <c r="C616" s="7"/>
      <c r="D616" s="7"/>
      <c r="E616" s="7"/>
      <c r="F616" s="7"/>
      <c r="G616" s="7"/>
      <c r="H616" s="7"/>
      <c r="I616" s="7"/>
      <c r="J616" s="7"/>
      <c r="K616" s="7"/>
    </row>
    <row r="617">
      <c r="A617" s="7"/>
      <c r="B617" s="7"/>
      <c r="C617" s="7"/>
      <c r="D617" s="7"/>
      <c r="E617" s="7"/>
      <c r="F617" s="7"/>
      <c r="G617" s="7"/>
      <c r="H617" s="7"/>
      <c r="I617" s="7"/>
      <c r="J617" s="7"/>
      <c r="K617" s="7"/>
    </row>
    <row r="618">
      <c r="A618" s="7"/>
      <c r="B618" s="7"/>
      <c r="C618" s="7"/>
      <c r="D618" s="7"/>
      <c r="E618" s="7"/>
      <c r="F618" s="7"/>
      <c r="G618" s="7"/>
      <c r="H618" s="7"/>
      <c r="I618" s="7"/>
      <c r="J618" s="7"/>
      <c r="K618" s="7"/>
    </row>
    <row r="619">
      <c r="A619" s="7"/>
      <c r="B619" s="7"/>
      <c r="C619" s="7"/>
      <c r="D619" s="7"/>
      <c r="E619" s="7"/>
      <c r="F619" s="7"/>
      <c r="G619" s="7"/>
      <c r="H619" s="7"/>
      <c r="I619" s="7"/>
      <c r="J619" s="7"/>
      <c r="K619" s="7"/>
    </row>
    <row r="620">
      <c r="A620" s="7"/>
      <c r="B620" s="7"/>
      <c r="C620" s="7"/>
      <c r="D620" s="7"/>
      <c r="E620" s="7"/>
      <c r="F620" s="7"/>
      <c r="G620" s="7"/>
      <c r="H620" s="7"/>
      <c r="I620" s="7"/>
      <c r="J620" s="7"/>
      <c r="K620" s="7"/>
    </row>
    <row r="621">
      <c r="A621" s="7"/>
      <c r="B621" s="7"/>
      <c r="C621" s="7"/>
      <c r="D621" s="7"/>
      <c r="E621" s="7"/>
      <c r="F621" s="7"/>
      <c r="G621" s="7"/>
      <c r="H621" s="7"/>
      <c r="I621" s="7"/>
      <c r="J621" s="7"/>
      <c r="K621" s="7"/>
    </row>
    <row r="622">
      <c r="A622" s="7"/>
      <c r="B622" s="7"/>
      <c r="C622" s="7"/>
      <c r="D622" s="7"/>
      <c r="E622" s="7"/>
      <c r="F622" s="7"/>
      <c r="G622" s="7"/>
      <c r="H622" s="7"/>
      <c r="I622" s="7"/>
      <c r="J622" s="7"/>
      <c r="K622" s="7"/>
    </row>
    <row r="623">
      <c r="A623" s="7"/>
      <c r="B623" s="7"/>
      <c r="C623" s="7"/>
      <c r="D623" s="7"/>
      <c r="E623" s="7"/>
      <c r="F623" s="7"/>
      <c r="G623" s="7"/>
      <c r="H623" s="7"/>
      <c r="I623" s="7"/>
      <c r="J623" s="7"/>
      <c r="K623" s="7"/>
    </row>
    <row r="624">
      <c r="A624" s="7"/>
      <c r="B624" s="7"/>
      <c r="C624" s="7"/>
      <c r="D624" s="7"/>
      <c r="E624" s="7"/>
      <c r="F624" s="7"/>
      <c r="G624" s="7"/>
      <c r="H624" s="7"/>
      <c r="I624" s="7"/>
      <c r="J624" s="7"/>
      <c r="K624" s="7"/>
    </row>
    <row r="625">
      <c r="A625" s="7"/>
      <c r="B625" s="7"/>
      <c r="C625" s="7"/>
      <c r="D625" s="7"/>
      <c r="E625" s="7"/>
      <c r="F625" s="7"/>
      <c r="G625" s="7"/>
      <c r="H625" s="7"/>
      <c r="I625" s="7"/>
      <c r="J625" s="7"/>
      <c r="K625" s="7"/>
    </row>
    <row r="626">
      <c r="A626" s="7"/>
      <c r="B626" s="7"/>
      <c r="C626" s="7"/>
      <c r="D626" s="7"/>
      <c r="E626" s="7"/>
      <c r="F626" s="7"/>
      <c r="G626" s="7"/>
      <c r="H626" s="7"/>
      <c r="I626" s="7"/>
      <c r="J626" s="7"/>
      <c r="K626" s="7"/>
    </row>
    <row r="627">
      <c r="A627" s="7"/>
      <c r="B627" s="7"/>
      <c r="C627" s="7"/>
      <c r="D627" s="7"/>
      <c r="E627" s="7"/>
      <c r="F627" s="7"/>
      <c r="G627" s="7"/>
      <c r="H627" s="7"/>
      <c r="I627" s="7"/>
      <c r="J627" s="7"/>
      <c r="K627" s="7"/>
    </row>
    <row r="628">
      <c r="A628" s="7"/>
      <c r="B628" s="7"/>
      <c r="C628" s="7"/>
      <c r="D628" s="7"/>
      <c r="E628" s="7"/>
      <c r="F628" s="7"/>
      <c r="G628" s="7"/>
      <c r="H628" s="7"/>
      <c r="I628" s="7"/>
      <c r="J628" s="7"/>
      <c r="K628" s="7"/>
    </row>
    <row r="629">
      <c r="A629" s="7"/>
      <c r="B629" s="7"/>
      <c r="C629" s="7"/>
      <c r="D629" s="7"/>
      <c r="E629" s="7"/>
      <c r="F629" s="7"/>
      <c r="G629" s="7"/>
      <c r="H629" s="7"/>
      <c r="I629" s="7"/>
      <c r="J629" s="7"/>
      <c r="K629" s="7"/>
    </row>
    <row r="630">
      <c r="A630" s="7"/>
      <c r="B630" s="7"/>
      <c r="C630" s="7"/>
      <c r="D630" s="7"/>
      <c r="E630" s="7"/>
      <c r="F630" s="7"/>
      <c r="G630" s="7"/>
      <c r="H630" s="7"/>
      <c r="I630" s="7"/>
      <c r="J630" s="7"/>
      <c r="K630" s="7"/>
    </row>
    <row r="631">
      <c r="A631" s="7"/>
      <c r="B631" s="7"/>
      <c r="C631" s="7"/>
      <c r="D631" s="7"/>
      <c r="E631" s="7"/>
      <c r="F631" s="7"/>
      <c r="G631" s="7"/>
      <c r="H631" s="7"/>
      <c r="I631" s="7"/>
      <c r="J631" s="7"/>
      <c r="K631" s="7"/>
    </row>
    <row r="632">
      <c r="A632" s="7"/>
      <c r="B632" s="7"/>
      <c r="C632" s="7"/>
      <c r="D632" s="7"/>
      <c r="E632" s="7"/>
      <c r="F632" s="7"/>
      <c r="G632" s="7"/>
      <c r="H632" s="7"/>
      <c r="I632" s="7"/>
      <c r="J632" s="7"/>
      <c r="K632" s="7"/>
    </row>
    <row r="633">
      <c r="A633" s="7"/>
      <c r="B633" s="7"/>
      <c r="C633" s="7"/>
      <c r="D633" s="7"/>
      <c r="E633" s="7"/>
      <c r="F633" s="7"/>
      <c r="G633" s="7"/>
      <c r="H633" s="7"/>
      <c r="I633" s="7"/>
      <c r="J633" s="7"/>
      <c r="K633" s="7"/>
    </row>
    <row r="634">
      <c r="A634" s="7"/>
      <c r="B634" s="7"/>
      <c r="C634" s="7"/>
      <c r="D634" s="7"/>
      <c r="E634" s="7"/>
      <c r="F634" s="7"/>
      <c r="G634" s="7"/>
      <c r="H634" s="7"/>
      <c r="I634" s="7"/>
      <c r="J634" s="7"/>
      <c r="K634" s="7"/>
    </row>
    <row r="635">
      <c r="A635" s="7"/>
      <c r="B635" s="7"/>
      <c r="C635" s="7"/>
      <c r="D635" s="7"/>
      <c r="E635" s="7"/>
      <c r="F635" s="7"/>
      <c r="G635" s="7"/>
      <c r="H635" s="7"/>
      <c r="I635" s="7"/>
      <c r="J635" s="7"/>
      <c r="K635" s="7"/>
    </row>
    <row r="636">
      <c r="A636" s="7"/>
      <c r="B636" s="7"/>
      <c r="C636" s="7"/>
      <c r="D636" s="7"/>
      <c r="E636" s="7"/>
      <c r="F636" s="7"/>
      <c r="G636" s="7"/>
      <c r="H636" s="7"/>
      <c r="I636" s="7"/>
      <c r="J636" s="7"/>
      <c r="K636" s="7"/>
    </row>
    <row r="637">
      <c r="A637" s="7"/>
      <c r="B637" s="7"/>
      <c r="C637" s="7"/>
      <c r="D637" s="7"/>
      <c r="E637" s="7"/>
      <c r="F637" s="7"/>
      <c r="G637" s="7"/>
      <c r="H637" s="7"/>
      <c r="I637" s="7"/>
      <c r="J637" s="7"/>
      <c r="K637" s="7"/>
    </row>
    <row r="638">
      <c r="A638" s="7"/>
      <c r="B638" s="7"/>
      <c r="C638" s="7"/>
      <c r="D638" s="7"/>
      <c r="E638" s="7"/>
      <c r="F638" s="7"/>
      <c r="G638" s="7"/>
      <c r="H638" s="7"/>
      <c r="I638" s="7"/>
      <c r="J638" s="7"/>
      <c r="K638" s="7"/>
    </row>
    <row r="639">
      <c r="A639" s="7"/>
      <c r="B639" s="7"/>
      <c r="C639" s="7"/>
      <c r="D639" s="7"/>
      <c r="E639" s="7"/>
      <c r="F639" s="7"/>
      <c r="G639" s="7"/>
      <c r="H639" s="7"/>
      <c r="I639" s="7"/>
      <c r="J639" s="7"/>
      <c r="K639" s="7"/>
    </row>
    <row r="640">
      <c r="A640" s="7"/>
      <c r="B640" s="7"/>
      <c r="C640" s="7"/>
      <c r="D640" s="7"/>
      <c r="E640" s="7"/>
      <c r="F640" s="7"/>
      <c r="G640" s="7"/>
      <c r="H640" s="7"/>
      <c r="I640" s="7"/>
      <c r="J640" s="7"/>
      <c r="K640" s="7"/>
    </row>
    <row r="641">
      <c r="A641" s="7"/>
      <c r="B641" s="7"/>
      <c r="C641" s="7"/>
      <c r="D641" s="7"/>
      <c r="E641" s="7"/>
      <c r="F641" s="7"/>
      <c r="G641" s="7"/>
      <c r="H641" s="7"/>
      <c r="I641" s="7"/>
      <c r="J641" s="7"/>
      <c r="K641" s="7"/>
    </row>
    <row r="642">
      <c r="A642" s="7"/>
      <c r="B642" s="7"/>
      <c r="C642" s="7"/>
      <c r="D642" s="7"/>
      <c r="E642" s="7"/>
      <c r="F642" s="7"/>
      <c r="G642" s="7"/>
      <c r="H642" s="7"/>
      <c r="I642" s="7"/>
      <c r="J642" s="7"/>
      <c r="K642" s="7"/>
    </row>
    <row r="643">
      <c r="A643" s="7"/>
      <c r="B643" s="7"/>
      <c r="C643" s="7"/>
      <c r="D643" s="7"/>
      <c r="E643" s="7"/>
      <c r="F643" s="7"/>
      <c r="G643" s="7"/>
      <c r="H643" s="7"/>
      <c r="I643" s="7"/>
      <c r="J643" s="7"/>
      <c r="K643" s="7"/>
    </row>
    <row r="644">
      <c r="A644" s="7"/>
      <c r="B644" s="7"/>
      <c r="C644" s="7"/>
      <c r="D644" s="7"/>
      <c r="E644" s="7"/>
      <c r="F644" s="7"/>
      <c r="G644" s="7"/>
      <c r="H644" s="7"/>
      <c r="I644" s="7"/>
      <c r="J644" s="7"/>
      <c r="K644" s="7"/>
    </row>
    <row r="645">
      <c r="A645" s="7"/>
      <c r="B645" s="7"/>
      <c r="C645" s="7"/>
      <c r="D645" s="7"/>
      <c r="E645" s="7"/>
      <c r="F645" s="7"/>
      <c r="G645" s="7"/>
      <c r="H645" s="7"/>
      <c r="I645" s="7"/>
      <c r="J645" s="7"/>
      <c r="K645" s="7"/>
    </row>
    <row r="646">
      <c r="A646" s="7"/>
      <c r="B646" s="7"/>
      <c r="C646" s="7"/>
      <c r="D646" s="7"/>
      <c r="E646" s="7"/>
      <c r="F646" s="7"/>
      <c r="G646" s="7"/>
      <c r="H646" s="7"/>
      <c r="I646" s="7"/>
      <c r="J646" s="7"/>
      <c r="K646" s="7"/>
    </row>
    <row r="647">
      <c r="A647" s="7"/>
      <c r="B647" s="7"/>
      <c r="C647" s="7"/>
      <c r="D647" s="7"/>
      <c r="E647" s="7"/>
      <c r="F647" s="7"/>
      <c r="G647" s="7"/>
      <c r="H647" s="7"/>
      <c r="I647" s="7"/>
      <c r="J647" s="7"/>
      <c r="K647" s="7"/>
    </row>
    <row r="648">
      <c r="A648" s="7"/>
      <c r="B648" s="7"/>
      <c r="C648" s="7"/>
      <c r="D648" s="7"/>
      <c r="E648" s="7"/>
      <c r="F648" s="7"/>
      <c r="G648" s="7"/>
      <c r="H648" s="7"/>
      <c r="I648" s="7"/>
      <c r="J648" s="7"/>
      <c r="K648" s="7"/>
    </row>
    <row r="649">
      <c r="A649" s="7"/>
      <c r="B649" s="7"/>
      <c r="C649" s="7"/>
      <c r="D649" s="7"/>
      <c r="E649" s="7"/>
      <c r="F649" s="7"/>
      <c r="G649" s="7"/>
      <c r="H649" s="7"/>
      <c r="I649" s="7"/>
      <c r="J649" s="7"/>
      <c r="K649" s="7"/>
    </row>
    <row r="650">
      <c r="A650" s="7"/>
      <c r="B650" s="7"/>
      <c r="C650" s="7"/>
      <c r="D650" s="7"/>
      <c r="E650" s="7"/>
      <c r="F650" s="7"/>
      <c r="G650" s="7"/>
      <c r="H650" s="7"/>
      <c r="I650" s="7"/>
      <c r="J650" s="7"/>
      <c r="K650" s="7"/>
    </row>
    <row r="651">
      <c r="A651" s="7"/>
      <c r="B651" s="7"/>
      <c r="C651" s="7"/>
      <c r="D651" s="7"/>
      <c r="E651" s="7"/>
      <c r="F651" s="7"/>
      <c r="G651" s="7"/>
      <c r="H651" s="7"/>
      <c r="I651" s="7"/>
      <c r="J651" s="7"/>
      <c r="K651" s="7"/>
    </row>
    <row r="652">
      <c r="A652" s="7"/>
      <c r="B652" s="7"/>
      <c r="C652" s="7"/>
      <c r="D652" s="7"/>
      <c r="E652" s="7"/>
      <c r="F652" s="7"/>
      <c r="G652" s="7"/>
      <c r="H652" s="7"/>
      <c r="I652" s="7"/>
      <c r="J652" s="7"/>
      <c r="K652" s="7"/>
    </row>
    <row r="653">
      <c r="A653" s="7"/>
      <c r="B653" s="7"/>
      <c r="C653" s="7"/>
      <c r="D653" s="7"/>
      <c r="E653" s="7"/>
      <c r="F653" s="7"/>
      <c r="G653" s="7"/>
      <c r="H653" s="7"/>
      <c r="I653" s="7"/>
      <c r="J653" s="7"/>
      <c r="K653" s="7"/>
    </row>
    <row r="654">
      <c r="A654" s="7"/>
      <c r="B654" s="7"/>
      <c r="C654" s="7"/>
      <c r="D654" s="7"/>
      <c r="E654" s="7"/>
      <c r="F654" s="7"/>
      <c r="G654" s="7"/>
      <c r="H654" s="7"/>
      <c r="I654" s="7"/>
      <c r="J654" s="7"/>
      <c r="K654" s="7"/>
    </row>
    <row r="655">
      <c r="A655" s="7"/>
      <c r="B655" s="7"/>
      <c r="C655" s="7"/>
      <c r="D655" s="7"/>
      <c r="E655" s="7"/>
      <c r="F655" s="7"/>
      <c r="G655" s="7"/>
      <c r="H655" s="7"/>
      <c r="I655" s="7"/>
      <c r="J655" s="7"/>
      <c r="K655" s="7"/>
    </row>
    <row r="656">
      <c r="A656" s="7"/>
      <c r="B656" s="7"/>
      <c r="C656" s="7"/>
      <c r="D656" s="7"/>
      <c r="E656" s="7"/>
      <c r="F656" s="7"/>
      <c r="G656" s="7"/>
      <c r="H656" s="7"/>
      <c r="I656" s="7"/>
      <c r="J656" s="7"/>
      <c r="K656" s="7"/>
    </row>
    <row r="657">
      <c r="A657" s="7"/>
      <c r="B657" s="7"/>
      <c r="C657" s="7"/>
      <c r="D657" s="7"/>
      <c r="E657" s="7"/>
      <c r="F657" s="7"/>
      <c r="G657" s="7"/>
      <c r="H657" s="7"/>
      <c r="I657" s="7"/>
      <c r="J657" s="7"/>
      <c r="K657" s="7"/>
    </row>
    <row r="658">
      <c r="A658" s="7"/>
      <c r="B658" s="7"/>
      <c r="C658" s="7"/>
      <c r="D658" s="7"/>
      <c r="E658" s="7"/>
      <c r="F658" s="7"/>
      <c r="G658" s="7"/>
      <c r="H658" s="7"/>
      <c r="I658" s="7"/>
      <c r="J658" s="7"/>
      <c r="K658" s="7"/>
    </row>
    <row r="659">
      <c r="A659" s="7"/>
      <c r="B659" s="7"/>
      <c r="C659" s="7"/>
      <c r="D659" s="7"/>
      <c r="E659" s="7"/>
      <c r="F659" s="7"/>
      <c r="G659" s="7"/>
      <c r="H659" s="7"/>
      <c r="I659" s="7"/>
      <c r="J659" s="7"/>
      <c r="K659" s="7"/>
    </row>
    <row r="660">
      <c r="A660" s="7"/>
      <c r="B660" s="7"/>
      <c r="C660" s="7"/>
      <c r="D660" s="7"/>
      <c r="E660" s="7"/>
      <c r="F660" s="7"/>
      <c r="G660" s="7"/>
      <c r="H660" s="7"/>
      <c r="I660" s="7"/>
      <c r="J660" s="7"/>
      <c r="K660" s="7"/>
    </row>
    <row r="661">
      <c r="A661" s="7"/>
      <c r="B661" s="7"/>
      <c r="C661" s="7"/>
      <c r="D661" s="7"/>
      <c r="E661" s="7"/>
      <c r="F661" s="7"/>
      <c r="G661" s="7"/>
      <c r="H661" s="7"/>
      <c r="I661" s="7"/>
      <c r="J661" s="7"/>
      <c r="K661" s="7"/>
    </row>
    <row r="662">
      <c r="A662" s="7"/>
      <c r="B662" s="7"/>
      <c r="C662" s="7"/>
      <c r="D662" s="7"/>
      <c r="E662" s="7"/>
      <c r="F662" s="7"/>
      <c r="G662" s="7"/>
      <c r="H662" s="7"/>
      <c r="I662" s="7"/>
      <c r="J662" s="7"/>
      <c r="K662" s="7"/>
    </row>
    <row r="663">
      <c r="A663" s="7"/>
      <c r="B663" s="7"/>
      <c r="C663" s="7"/>
      <c r="D663" s="7"/>
      <c r="E663" s="7"/>
      <c r="F663" s="7"/>
      <c r="G663" s="7"/>
      <c r="H663" s="7"/>
      <c r="I663" s="7"/>
      <c r="J663" s="7"/>
      <c r="K663" s="7"/>
    </row>
    <row r="664">
      <c r="A664" s="7"/>
      <c r="B664" s="7"/>
      <c r="C664" s="7"/>
      <c r="D664" s="7"/>
      <c r="E664" s="7"/>
      <c r="F664" s="7"/>
      <c r="G664" s="7"/>
      <c r="H664" s="7"/>
      <c r="I664" s="7"/>
      <c r="J664" s="7"/>
      <c r="K664" s="7"/>
    </row>
    <row r="665">
      <c r="A665" s="7"/>
      <c r="B665" s="7"/>
      <c r="C665" s="7"/>
      <c r="D665" s="7"/>
      <c r="E665" s="7"/>
      <c r="F665" s="7"/>
      <c r="G665" s="7"/>
      <c r="H665" s="7"/>
      <c r="I665" s="7"/>
      <c r="J665" s="7"/>
      <c r="K665" s="7"/>
    </row>
    <row r="666">
      <c r="A666" s="7"/>
      <c r="B666" s="7"/>
      <c r="C666" s="7"/>
      <c r="D666" s="7"/>
      <c r="E666" s="7"/>
      <c r="F666" s="7"/>
      <c r="G666" s="7"/>
      <c r="H666" s="7"/>
      <c r="I666" s="7"/>
      <c r="J666" s="7"/>
      <c r="K666" s="7"/>
    </row>
    <row r="667">
      <c r="A667" s="7"/>
      <c r="B667" s="7"/>
      <c r="C667" s="7"/>
      <c r="D667" s="7"/>
      <c r="E667" s="7"/>
      <c r="F667" s="7"/>
      <c r="G667" s="7"/>
      <c r="H667" s="7"/>
      <c r="I667" s="7"/>
      <c r="J667" s="7"/>
      <c r="K667" s="7"/>
    </row>
    <row r="668">
      <c r="A668" s="7"/>
      <c r="B668" s="7"/>
      <c r="C668" s="7"/>
      <c r="D668" s="7"/>
      <c r="E668" s="7"/>
      <c r="F668" s="7"/>
      <c r="G668" s="7"/>
      <c r="H668" s="7"/>
      <c r="I668" s="7"/>
      <c r="J668" s="7"/>
      <c r="K668" s="7"/>
    </row>
    <row r="669">
      <c r="A669" s="7"/>
      <c r="B669" s="7"/>
      <c r="C669" s="7"/>
      <c r="D669" s="7"/>
      <c r="E669" s="7"/>
      <c r="F669" s="7"/>
      <c r="G669" s="7"/>
      <c r="H669" s="7"/>
      <c r="I669" s="7"/>
      <c r="J669" s="7"/>
      <c r="K669" s="7"/>
    </row>
    <row r="670">
      <c r="A670" s="7"/>
      <c r="B670" s="7"/>
      <c r="C670" s="7"/>
      <c r="D670" s="7"/>
      <c r="E670" s="7"/>
      <c r="F670" s="7"/>
      <c r="G670" s="7"/>
      <c r="H670" s="7"/>
      <c r="I670" s="7"/>
      <c r="J670" s="7"/>
      <c r="K670" s="7"/>
    </row>
    <row r="671">
      <c r="A671" s="7"/>
      <c r="B671" s="7"/>
      <c r="C671" s="7"/>
      <c r="D671" s="7"/>
      <c r="E671" s="7"/>
      <c r="F671" s="7"/>
      <c r="G671" s="7"/>
      <c r="H671" s="7"/>
      <c r="I671" s="7"/>
      <c r="J671" s="7"/>
      <c r="K671" s="7"/>
    </row>
    <row r="672">
      <c r="A672" s="7"/>
      <c r="B672" s="7"/>
      <c r="C672" s="7"/>
      <c r="D672" s="7"/>
      <c r="E672" s="7"/>
      <c r="F672" s="7"/>
      <c r="G672" s="7"/>
      <c r="H672" s="7"/>
      <c r="I672" s="7"/>
      <c r="J672" s="7"/>
      <c r="K672" s="7"/>
    </row>
    <row r="673">
      <c r="A673" s="7"/>
      <c r="B673" s="7"/>
      <c r="C673" s="7"/>
      <c r="D673" s="7"/>
      <c r="E673" s="7"/>
      <c r="F673" s="7"/>
      <c r="G673" s="7"/>
      <c r="H673" s="7"/>
      <c r="I673" s="7"/>
      <c r="J673" s="7"/>
      <c r="K673" s="7"/>
    </row>
    <row r="674">
      <c r="A674" s="7"/>
      <c r="B674" s="7"/>
      <c r="C674" s="7"/>
      <c r="D674" s="7"/>
      <c r="E674" s="7"/>
      <c r="F674" s="7"/>
      <c r="G674" s="7"/>
      <c r="H674" s="7"/>
      <c r="I674" s="7"/>
      <c r="J674" s="7"/>
      <c r="K674" s="7"/>
    </row>
    <row r="675">
      <c r="A675" s="7"/>
      <c r="B675" s="7"/>
      <c r="C675" s="7"/>
      <c r="D675" s="7"/>
      <c r="E675" s="7"/>
      <c r="F675" s="7"/>
      <c r="G675" s="7"/>
      <c r="H675" s="7"/>
      <c r="I675" s="7"/>
      <c r="J675" s="7"/>
      <c r="K675" s="7"/>
    </row>
    <row r="676">
      <c r="A676" s="7"/>
      <c r="B676" s="7"/>
      <c r="C676" s="7"/>
      <c r="D676" s="7"/>
      <c r="E676" s="7"/>
      <c r="F676" s="7"/>
      <c r="G676" s="7"/>
      <c r="H676" s="7"/>
      <c r="I676" s="7"/>
      <c r="J676" s="7"/>
      <c r="K676" s="7"/>
    </row>
    <row r="677">
      <c r="A677" s="7"/>
      <c r="B677" s="7"/>
      <c r="C677" s="7"/>
      <c r="D677" s="7"/>
      <c r="E677" s="7"/>
      <c r="F677" s="7"/>
      <c r="G677" s="7"/>
      <c r="H677" s="7"/>
      <c r="I677" s="7"/>
      <c r="J677" s="7"/>
      <c r="K677" s="7"/>
    </row>
    <row r="678">
      <c r="A678" s="7"/>
      <c r="B678" s="7"/>
      <c r="C678" s="7"/>
      <c r="D678" s="7"/>
      <c r="E678" s="7"/>
      <c r="F678" s="7"/>
      <c r="G678" s="7"/>
      <c r="H678" s="7"/>
      <c r="I678" s="7"/>
      <c r="J678" s="7"/>
      <c r="K678" s="7"/>
    </row>
    <row r="679">
      <c r="A679" s="7"/>
      <c r="B679" s="7"/>
      <c r="C679" s="7"/>
      <c r="D679" s="7"/>
      <c r="E679" s="7"/>
      <c r="F679" s="7"/>
      <c r="G679" s="7"/>
      <c r="H679" s="7"/>
      <c r="I679" s="7"/>
      <c r="J679" s="7"/>
      <c r="K679" s="7"/>
    </row>
    <row r="680">
      <c r="A680" s="7"/>
      <c r="B680" s="7"/>
      <c r="C680" s="7"/>
      <c r="D680" s="7"/>
      <c r="E680" s="7"/>
      <c r="F680" s="7"/>
      <c r="G680" s="7"/>
      <c r="H680" s="7"/>
      <c r="I680" s="7"/>
      <c r="J680" s="7"/>
      <c r="K680" s="7"/>
    </row>
    <row r="681">
      <c r="A681" s="7"/>
      <c r="B681" s="7"/>
      <c r="C681" s="7"/>
      <c r="D681" s="7"/>
      <c r="E681" s="7"/>
      <c r="F681" s="7"/>
      <c r="G681" s="7"/>
      <c r="H681" s="7"/>
      <c r="I681" s="7"/>
      <c r="J681" s="7"/>
      <c r="K681" s="7"/>
    </row>
    <row r="682">
      <c r="A682" s="7"/>
      <c r="B682" s="7"/>
      <c r="C682" s="7"/>
      <c r="D682" s="7"/>
      <c r="E682" s="7"/>
      <c r="F682" s="7"/>
      <c r="G682" s="7"/>
      <c r="H682" s="7"/>
      <c r="I682" s="7"/>
      <c r="J682" s="7"/>
      <c r="K682" s="7"/>
    </row>
    <row r="683">
      <c r="A683" s="7"/>
      <c r="B683" s="7"/>
      <c r="C683" s="7"/>
      <c r="D683" s="7"/>
      <c r="E683" s="7"/>
      <c r="F683" s="7"/>
      <c r="G683" s="7"/>
      <c r="H683" s="7"/>
      <c r="I683" s="7"/>
      <c r="J683" s="7"/>
      <c r="K683" s="7"/>
    </row>
    <row r="684">
      <c r="A684" s="7"/>
      <c r="B684" s="7"/>
      <c r="C684" s="7"/>
      <c r="D684" s="7"/>
      <c r="E684" s="7"/>
      <c r="F684" s="7"/>
      <c r="G684" s="7"/>
      <c r="H684" s="7"/>
      <c r="I684" s="7"/>
      <c r="J684" s="7"/>
      <c r="K684" s="7"/>
    </row>
    <row r="685">
      <c r="A685" s="7"/>
      <c r="B685" s="7"/>
      <c r="C685" s="7"/>
      <c r="D685" s="7"/>
      <c r="E685" s="7"/>
      <c r="F685" s="7"/>
      <c r="G685" s="7"/>
      <c r="H685" s="7"/>
      <c r="I685" s="7"/>
      <c r="J685" s="7"/>
      <c r="K685" s="7"/>
    </row>
    <row r="686">
      <c r="A686" s="7"/>
      <c r="B686" s="7"/>
      <c r="C686" s="7"/>
      <c r="D686" s="7"/>
      <c r="E686" s="7"/>
      <c r="F686" s="7"/>
      <c r="G686" s="7"/>
      <c r="H686" s="7"/>
      <c r="I686" s="7"/>
      <c r="J686" s="7"/>
      <c r="K686" s="7"/>
    </row>
    <row r="687">
      <c r="A687" s="7"/>
      <c r="B687" s="7"/>
      <c r="C687" s="7"/>
      <c r="D687" s="7"/>
      <c r="E687" s="7"/>
      <c r="F687" s="7"/>
      <c r="G687" s="7"/>
      <c r="H687" s="7"/>
      <c r="I687" s="7"/>
      <c r="J687" s="7"/>
      <c r="K687" s="7"/>
    </row>
    <row r="688">
      <c r="A688" s="7"/>
      <c r="B688" s="7"/>
      <c r="C688" s="7"/>
      <c r="D688" s="7"/>
      <c r="E688" s="7"/>
      <c r="F688" s="7"/>
      <c r="G688" s="7"/>
      <c r="H688" s="7"/>
      <c r="I688" s="7"/>
      <c r="J688" s="7"/>
      <c r="K688" s="7"/>
    </row>
    <row r="689">
      <c r="A689" s="7"/>
      <c r="B689" s="7"/>
      <c r="C689" s="7"/>
      <c r="D689" s="7"/>
      <c r="E689" s="7"/>
      <c r="F689" s="7"/>
      <c r="G689" s="7"/>
      <c r="H689" s="7"/>
      <c r="I689" s="7"/>
      <c r="J689" s="7"/>
      <c r="K689" s="7"/>
    </row>
    <row r="690">
      <c r="A690" s="7"/>
      <c r="B690" s="7"/>
      <c r="C690" s="7"/>
      <c r="D690" s="7"/>
      <c r="E690" s="7"/>
      <c r="F690" s="7"/>
      <c r="G690" s="7"/>
      <c r="H690" s="7"/>
      <c r="I690" s="7"/>
      <c r="J690" s="7"/>
      <c r="K690" s="7"/>
    </row>
    <row r="691">
      <c r="A691" s="7"/>
      <c r="B691" s="7"/>
      <c r="C691" s="7"/>
      <c r="D691" s="7"/>
      <c r="E691" s="7"/>
      <c r="F691" s="7"/>
      <c r="G691" s="7"/>
      <c r="H691" s="7"/>
      <c r="I691" s="7"/>
      <c r="J691" s="7"/>
      <c r="K691" s="7"/>
    </row>
    <row r="692">
      <c r="A692" s="7"/>
      <c r="B692" s="7"/>
      <c r="C692" s="7"/>
      <c r="D692" s="7"/>
      <c r="E692" s="7"/>
      <c r="F692" s="7"/>
      <c r="G692" s="7"/>
      <c r="H692" s="7"/>
      <c r="I692" s="7"/>
      <c r="J692" s="7"/>
      <c r="K692" s="7"/>
    </row>
    <row r="693">
      <c r="A693" s="7"/>
      <c r="B693" s="7"/>
      <c r="C693" s="7"/>
      <c r="D693" s="7"/>
      <c r="E693" s="7"/>
      <c r="F693" s="7"/>
      <c r="G693" s="7"/>
      <c r="H693" s="7"/>
      <c r="I693" s="7"/>
      <c r="J693" s="7"/>
      <c r="K693" s="7"/>
    </row>
    <row r="694">
      <c r="A694" s="7"/>
      <c r="B694" s="7"/>
      <c r="C694" s="7"/>
      <c r="D694" s="7"/>
      <c r="E694" s="7"/>
      <c r="F694" s="7"/>
      <c r="G694" s="7"/>
      <c r="H694" s="7"/>
      <c r="I694" s="7"/>
      <c r="J694" s="7"/>
      <c r="K694" s="7"/>
    </row>
    <row r="695">
      <c r="A695" s="7"/>
      <c r="B695" s="7"/>
      <c r="C695" s="7"/>
      <c r="D695" s="7"/>
      <c r="E695" s="7"/>
      <c r="F695" s="7"/>
      <c r="G695" s="7"/>
      <c r="H695" s="7"/>
      <c r="I695" s="7"/>
      <c r="J695" s="7"/>
      <c r="K695" s="7"/>
    </row>
    <row r="696">
      <c r="A696" s="7"/>
      <c r="B696" s="7"/>
      <c r="C696" s="7"/>
      <c r="D696" s="7"/>
      <c r="E696" s="7"/>
      <c r="F696" s="7"/>
      <c r="G696" s="7"/>
      <c r="H696" s="7"/>
      <c r="I696" s="7"/>
      <c r="J696" s="7"/>
      <c r="K696" s="7"/>
    </row>
    <row r="697">
      <c r="A697" s="7"/>
      <c r="B697" s="7"/>
      <c r="C697" s="7"/>
      <c r="D697" s="7"/>
      <c r="E697" s="7"/>
      <c r="F697" s="7"/>
      <c r="G697" s="7"/>
      <c r="H697" s="7"/>
      <c r="I697" s="7"/>
      <c r="J697" s="7"/>
      <c r="K697" s="7"/>
    </row>
    <row r="698">
      <c r="A698" s="7"/>
      <c r="B698" s="7"/>
      <c r="C698" s="7"/>
      <c r="D698" s="7"/>
      <c r="E698" s="7"/>
      <c r="F698" s="7"/>
      <c r="G698" s="7"/>
      <c r="H698" s="7"/>
      <c r="I698" s="7"/>
      <c r="J698" s="7"/>
      <c r="K698" s="7"/>
    </row>
    <row r="699">
      <c r="A699" s="7"/>
      <c r="B699" s="7"/>
      <c r="C699" s="7"/>
      <c r="D699" s="7"/>
      <c r="E699" s="7"/>
      <c r="F699" s="7"/>
      <c r="G699" s="7"/>
      <c r="H699" s="7"/>
      <c r="I699" s="7"/>
      <c r="J699" s="7"/>
      <c r="K699" s="7"/>
    </row>
    <row r="700">
      <c r="A700" s="7"/>
      <c r="B700" s="7"/>
      <c r="C700" s="7"/>
      <c r="D700" s="7"/>
      <c r="E700" s="7"/>
      <c r="F700" s="7"/>
      <c r="G700" s="7"/>
      <c r="H700" s="7"/>
      <c r="I700" s="7"/>
      <c r="J700" s="7"/>
      <c r="K700" s="7"/>
    </row>
    <row r="701">
      <c r="A701" s="7"/>
      <c r="B701" s="7"/>
      <c r="C701" s="7"/>
      <c r="D701" s="7"/>
      <c r="E701" s="7"/>
      <c r="F701" s="7"/>
      <c r="G701" s="7"/>
      <c r="H701" s="7"/>
      <c r="I701" s="7"/>
      <c r="J701" s="7"/>
      <c r="K701" s="7"/>
    </row>
    <row r="702">
      <c r="A702" s="7"/>
      <c r="B702" s="7"/>
      <c r="C702" s="7"/>
      <c r="D702" s="7"/>
      <c r="E702" s="7"/>
      <c r="F702" s="7"/>
      <c r="G702" s="7"/>
      <c r="H702" s="7"/>
      <c r="I702" s="7"/>
      <c r="J702" s="7"/>
      <c r="K702" s="7"/>
    </row>
    <row r="703">
      <c r="A703" s="7"/>
      <c r="B703" s="7"/>
      <c r="C703" s="7"/>
      <c r="D703" s="7"/>
      <c r="E703" s="7"/>
      <c r="F703" s="7"/>
      <c r="G703" s="7"/>
      <c r="H703" s="7"/>
      <c r="I703" s="7"/>
      <c r="J703" s="7"/>
      <c r="K703" s="7"/>
    </row>
    <row r="704">
      <c r="A704" s="7"/>
      <c r="B704" s="7"/>
      <c r="C704" s="7"/>
      <c r="D704" s="7"/>
      <c r="E704" s="7"/>
      <c r="F704" s="7"/>
      <c r="G704" s="7"/>
      <c r="H704" s="7"/>
      <c r="I704" s="7"/>
      <c r="J704" s="7"/>
      <c r="K704" s="7"/>
    </row>
    <row r="705">
      <c r="A705" s="7"/>
      <c r="B705" s="7"/>
      <c r="C705" s="7"/>
      <c r="D705" s="7"/>
      <c r="E705" s="7"/>
      <c r="F705" s="7"/>
      <c r="G705" s="7"/>
      <c r="H705" s="7"/>
      <c r="I705" s="7"/>
      <c r="J705" s="7"/>
      <c r="K705" s="7"/>
    </row>
    <row r="706">
      <c r="A706" s="7"/>
      <c r="B706" s="7"/>
      <c r="C706" s="7"/>
      <c r="D706" s="7"/>
      <c r="E706" s="7"/>
      <c r="F706" s="7"/>
      <c r="G706" s="7"/>
      <c r="H706" s="7"/>
      <c r="I706" s="7"/>
      <c r="J706" s="7"/>
      <c r="K706" s="7"/>
    </row>
    <row r="707">
      <c r="A707" s="7"/>
      <c r="B707" s="7"/>
      <c r="C707" s="7"/>
      <c r="D707" s="7"/>
      <c r="E707" s="7"/>
      <c r="F707" s="7"/>
      <c r="G707" s="7"/>
      <c r="H707" s="7"/>
      <c r="I707" s="7"/>
      <c r="J707" s="7"/>
      <c r="K707" s="7"/>
    </row>
    <row r="708">
      <c r="A708" s="7"/>
      <c r="B708" s="7"/>
      <c r="C708" s="7"/>
      <c r="D708" s="7"/>
      <c r="E708" s="7"/>
      <c r="F708" s="7"/>
      <c r="G708" s="7"/>
      <c r="H708" s="7"/>
      <c r="I708" s="7"/>
      <c r="J708" s="7"/>
      <c r="K708" s="7"/>
    </row>
    <row r="709">
      <c r="A709" s="7"/>
      <c r="B709" s="7"/>
      <c r="C709" s="7"/>
      <c r="D709" s="7"/>
      <c r="E709" s="7"/>
      <c r="F709" s="7"/>
      <c r="G709" s="7"/>
      <c r="H709" s="7"/>
      <c r="I709" s="7"/>
      <c r="J709" s="7"/>
      <c r="K709" s="7"/>
    </row>
    <row r="710">
      <c r="A710" s="7"/>
      <c r="B710" s="7"/>
      <c r="C710" s="7"/>
      <c r="D710" s="7"/>
      <c r="E710" s="7"/>
      <c r="F710" s="7"/>
      <c r="G710" s="7"/>
      <c r="H710" s="7"/>
      <c r="I710" s="7"/>
      <c r="J710" s="7"/>
      <c r="K710" s="7"/>
    </row>
    <row r="711">
      <c r="A711" s="7"/>
      <c r="B711" s="7"/>
      <c r="C711" s="7"/>
      <c r="D711" s="7"/>
      <c r="E711" s="7"/>
      <c r="F711" s="7"/>
      <c r="G711" s="7"/>
      <c r="H711" s="7"/>
      <c r="I711" s="7"/>
      <c r="J711" s="7"/>
      <c r="K711" s="7"/>
    </row>
    <row r="712">
      <c r="A712" s="7"/>
      <c r="B712" s="7"/>
      <c r="C712" s="7"/>
      <c r="D712" s="7"/>
      <c r="E712" s="7"/>
      <c r="F712" s="7"/>
      <c r="G712" s="7"/>
      <c r="H712" s="7"/>
      <c r="I712" s="7"/>
      <c r="J712" s="7"/>
      <c r="K712" s="7"/>
    </row>
    <row r="713">
      <c r="A713" s="7"/>
      <c r="B713" s="7"/>
      <c r="C713" s="7"/>
      <c r="D713" s="7"/>
      <c r="E713" s="7"/>
      <c r="F713" s="7"/>
      <c r="G713" s="7"/>
      <c r="H713" s="7"/>
      <c r="I713" s="7"/>
      <c r="J713" s="7"/>
      <c r="K713" s="7"/>
    </row>
    <row r="714">
      <c r="A714" s="7"/>
      <c r="B714" s="7"/>
      <c r="C714" s="7"/>
      <c r="D714" s="7"/>
      <c r="E714" s="7"/>
      <c r="F714" s="7"/>
      <c r="G714" s="7"/>
      <c r="H714" s="7"/>
      <c r="I714" s="7"/>
      <c r="J714" s="7"/>
      <c r="K714" s="7"/>
    </row>
    <row r="715">
      <c r="A715" s="7"/>
      <c r="B715" s="7"/>
      <c r="C715" s="7"/>
      <c r="D715" s="7"/>
      <c r="E715" s="7"/>
      <c r="F715" s="7"/>
      <c r="G715" s="7"/>
      <c r="H715" s="7"/>
      <c r="I715" s="7"/>
      <c r="J715" s="7"/>
      <c r="K715" s="7"/>
    </row>
    <row r="716">
      <c r="A716" s="7"/>
      <c r="B716" s="7"/>
      <c r="C716" s="7"/>
      <c r="D716" s="7"/>
      <c r="E716" s="7"/>
      <c r="F716" s="7"/>
      <c r="G716" s="7"/>
      <c r="H716" s="7"/>
      <c r="I716" s="7"/>
      <c r="J716" s="7"/>
      <c r="K716" s="7"/>
    </row>
    <row r="717">
      <c r="A717" s="7"/>
      <c r="B717" s="7"/>
      <c r="C717" s="7"/>
      <c r="D717" s="7"/>
      <c r="E717" s="7"/>
      <c r="F717" s="7"/>
      <c r="G717" s="7"/>
      <c r="H717" s="7"/>
      <c r="I717" s="7"/>
      <c r="J717" s="7"/>
      <c r="K717" s="7"/>
    </row>
    <row r="718">
      <c r="A718" s="7"/>
      <c r="B718" s="7"/>
      <c r="C718" s="7"/>
      <c r="D718" s="7"/>
      <c r="E718" s="7"/>
      <c r="F718" s="7"/>
      <c r="G718" s="7"/>
      <c r="H718" s="7"/>
      <c r="I718" s="7"/>
      <c r="J718" s="7"/>
      <c r="K718" s="7"/>
    </row>
    <row r="719">
      <c r="A719" s="7"/>
      <c r="B719" s="7"/>
      <c r="C719" s="7"/>
      <c r="D719" s="7"/>
      <c r="E719" s="7"/>
      <c r="F719" s="7"/>
      <c r="G719" s="7"/>
      <c r="H719" s="7"/>
      <c r="I719" s="7"/>
      <c r="J719" s="7"/>
      <c r="K719" s="7"/>
    </row>
    <row r="720">
      <c r="A720" s="7"/>
      <c r="B720" s="7"/>
      <c r="C720" s="7"/>
      <c r="D720" s="7"/>
      <c r="E720" s="7"/>
      <c r="F720" s="7"/>
      <c r="G720" s="7"/>
      <c r="H720" s="7"/>
      <c r="I720" s="7"/>
      <c r="J720" s="7"/>
      <c r="K720" s="7"/>
    </row>
    <row r="721">
      <c r="A721" s="7"/>
      <c r="B721" s="7"/>
      <c r="C721" s="7"/>
      <c r="D721" s="7"/>
      <c r="E721" s="7"/>
      <c r="F721" s="7"/>
      <c r="G721" s="7"/>
      <c r="H721" s="7"/>
      <c r="I721" s="7"/>
      <c r="J721" s="7"/>
      <c r="K721" s="7"/>
    </row>
    <row r="722">
      <c r="A722" s="7"/>
      <c r="B722" s="7"/>
      <c r="C722" s="7"/>
      <c r="D722" s="7"/>
      <c r="E722" s="7"/>
      <c r="F722" s="7"/>
      <c r="G722" s="7"/>
      <c r="H722" s="7"/>
      <c r="I722" s="7"/>
      <c r="J722" s="7"/>
      <c r="K722" s="7"/>
    </row>
    <row r="723">
      <c r="A723" s="7"/>
      <c r="B723" s="7"/>
      <c r="C723" s="7"/>
      <c r="D723" s="7"/>
      <c r="E723" s="7"/>
      <c r="F723" s="7"/>
      <c r="G723" s="7"/>
      <c r="H723" s="7"/>
      <c r="I723" s="7"/>
      <c r="J723" s="7"/>
      <c r="K723" s="7"/>
    </row>
    <row r="724">
      <c r="A724" s="7"/>
      <c r="B724" s="7"/>
      <c r="C724" s="7"/>
      <c r="D724" s="7"/>
      <c r="E724" s="7"/>
      <c r="F724" s="7"/>
      <c r="G724" s="7"/>
      <c r="H724" s="7"/>
      <c r="I724" s="7"/>
      <c r="J724" s="7"/>
      <c r="K724" s="7"/>
    </row>
    <row r="725">
      <c r="A725" s="7"/>
      <c r="B725" s="7"/>
      <c r="C725" s="7"/>
      <c r="D725" s="7"/>
      <c r="E725" s="7"/>
      <c r="F725" s="7"/>
      <c r="G725" s="7"/>
      <c r="H725" s="7"/>
      <c r="I725" s="7"/>
      <c r="J725" s="7"/>
      <c r="K725" s="7"/>
    </row>
    <row r="726">
      <c r="A726" s="7"/>
      <c r="B726" s="7"/>
      <c r="C726" s="7"/>
      <c r="D726" s="7"/>
      <c r="E726" s="7"/>
      <c r="F726" s="7"/>
      <c r="G726" s="7"/>
      <c r="H726" s="7"/>
      <c r="I726" s="7"/>
      <c r="J726" s="7"/>
      <c r="K726" s="7"/>
    </row>
    <row r="727">
      <c r="A727" s="7"/>
      <c r="B727" s="7"/>
      <c r="C727" s="7"/>
      <c r="D727" s="7"/>
      <c r="E727" s="7"/>
      <c r="F727" s="7"/>
      <c r="G727" s="7"/>
      <c r="H727" s="7"/>
      <c r="I727" s="7"/>
      <c r="J727" s="7"/>
      <c r="K727" s="7"/>
    </row>
    <row r="728">
      <c r="A728" s="7"/>
      <c r="B728" s="7"/>
      <c r="C728" s="7"/>
      <c r="D728" s="7"/>
      <c r="E728" s="7"/>
      <c r="F728" s="7"/>
      <c r="G728" s="7"/>
      <c r="H728" s="7"/>
      <c r="I728" s="7"/>
      <c r="J728" s="7"/>
      <c r="K728" s="7"/>
    </row>
    <row r="729">
      <c r="A729" s="7"/>
      <c r="B729" s="7"/>
      <c r="C729" s="7"/>
      <c r="D729" s="7"/>
      <c r="E729" s="7"/>
      <c r="F729" s="7"/>
      <c r="G729" s="7"/>
      <c r="H729" s="7"/>
      <c r="I729" s="7"/>
      <c r="J729" s="7"/>
      <c r="K729" s="7"/>
    </row>
    <row r="730">
      <c r="A730" s="7"/>
      <c r="B730" s="7"/>
      <c r="C730" s="7"/>
      <c r="D730" s="7"/>
      <c r="E730" s="7"/>
      <c r="F730" s="7"/>
      <c r="G730" s="7"/>
      <c r="H730" s="7"/>
      <c r="I730" s="7"/>
      <c r="J730" s="7"/>
      <c r="K730" s="7"/>
    </row>
    <row r="731">
      <c r="A731" s="7"/>
      <c r="B731" s="7"/>
      <c r="C731" s="7"/>
      <c r="D731" s="7"/>
      <c r="E731" s="7"/>
      <c r="F731" s="7"/>
      <c r="G731" s="7"/>
      <c r="H731" s="7"/>
      <c r="I731" s="7"/>
      <c r="J731" s="7"/>
      <c r="K731" s="7"/>
    </row>
    <row r="732">
      <c r="A732" s="7"/>
      <c r="B732" s="7"/>
      <c r="C732" s="7"/>
      <c r="D732" s="7"/>
      <c r="E732" s="7"/>
      <c r="F732" s="7"/>
      <c r="G732" s="7"/>
      <c r="H732" s="7"/>
      <c r="I732" s="7"/>
      <c r="J732" s="7"/>
      <c r="K732" s="7"/>
    </row>
    <row r="733">
      <c r="A733" s="7"/>
      <c r="B733" s="7"/>
      <c r="C733" s="7"/>
      <c r="D733" s="7"/>
      <c r="E733" s="7"/>
      <c r="F733" s="7"/>
      <c r="G733" s="7"/>
      <c r="H733" s="7"/>
      <c r="I733" s="7"/>
      <c r="J733" s="7"/>
      <c r="K733" s="7"/>
    </row>
    <row r="734">
      <c r="A734" s="7"/>
      <c r="B734" s="7"/>
      <c r="C734" s="7"/>
      <c r="D734" s="7"/>
      <c r="E734" s="7"/>
      <c r="F734" s="7"/>
      <c r="G734" s="7"/>
      <c r="H734" s="7"/>
      <c r="I734" s="7"/>
      <c r="J734" s="7"/>
      <c r="K734" s="7"/>
    </row>
    <row r="735">
      <c r="A735" s="7"/>
      <c r="B735" s="7"/>
      <c r="C735" s="7"/>
      <c r="D735" s="7"/>
      <c r="E735" s="7"/>
      <c r="F735" s="7"/>
      <c r="G735" s="7"/>
      <c r="H735" s="7"/>
      <c r="I735" s="7"/>
      <c r="J735" s="7"/>
      <c r="K735" s="7"/>
    </row>
    <row r="736">
      <c r="A736" s="7"/>
      <c r="B736" s="7"/>
      <c r="C736" s="7"/>
      <c r="D736" s="7"/>
      <c r="E736" s="7"/>
      <c r="F736" s="7"/>
      <c r="G736" s="7"/>
      <c r="H736" s="7"/>
      <c r="I736" s="7"/>
      <c r="J736" s="7"/>
      <c r="K736" s="7"/>
    </row>
    <row r="737">
      <c r="A737" s="7"/>
      <c r="B737" s="7"/>
      <c r="C737" s="7"/>
      <c r="D737" s="7"/>
      <c r="E737" s="7"/>
      <c r="F737" s="7"/>
      <c r="G737" s="7"/>
      <c r="H737" s="7"/>
      <c r="I737" s="7"/>
      <c r="J737" s="7"/>
      <c r="K737" s="7"/>
    </row>
    <row r="738">
      <c r="A738" s="7"/>
      <c r="B738" s="7"/>
      <c r="C738" s="7"/>
      <c r="D738" s="7"/>
      <c r="E738" s="7"/>
      <c r="F738" s="7"/>
      <c r="G738" s="7"/>
      <c r="H738" s="7"/>
      <c r="I738" s="7"/>
      <c r="J738" s="7"/>
      <c r="K738" s="7"/>
    </row>
    <row r="739">
      <c r="A739" s="7"/>
      <c r="B739" s="7"/>
      <c r="C739" s="7"/>
      <c r="D739" s="7"/>
      <c r="E739" s="7"/>
      <c r="F739" s="7"/>
      <c r="G739" s="7"/>
      <c r="H739" s="7"/>
      <c r="I739" s="7"/>
      <c r="J739" s="7"/>
      <c r="K739" s="7"/>
    </row>
    <row r="740">
      <c r="A740" s="7"/>
      <c r="B740" s="7"/>
      <c r="C740" s="7"/>
      <c r="D740" s="7"/>
      <c r="E740" s="7"/>
      <c r="F740" s="7"/>
      <c r="G740" s="7"/>
      <c r="H740" s="7"/>
      <c r="I740" s="7"/>
      <c r="J740" s="7"/>
      <c r="K740" s="7"/>
    </row>
    <row r="741">
      <c r="A741" s="7"/>
      <c r="B741" s="7"/>
      <c r="C741" s="7"/>
      <c r="D741" s="7"/>
      <c r="E741" s="7"/>
      <c r="F741" s="7"/>
      <c r="G741" s="7"/>
      <c r="H741" s="7"/>
      <c r="I741" s="7"/>
      <c r="J741" s="7"/>
      <c r="K741" s="7"/>
    </row>
    <row r="742">
      <c r="A742" s="7"/>
      <c r="B742" s="7"/>
      <c r="C742" s="7"/>
      <c r="D742" s="7"/>
      <c r="E742" s="7"/>
      <c r="F742" s="7"/>
      <c r="G742" s="7"/>
      <c r="H742" s="7"/>
      <c r="I742" s="7"/>
      <c r="J742" s="7"/>
      <c r="K742" s="7"/>
    </row>
    <row r="743">
      <c r="A743" s="7"/>
      <c r="B743" s="7"/>
      <c r="C743" s="7"/>
      <c r="D743" s="7"/>
      <c r="E743" s="7"/>
      <c r="F743" s="7"/>
      <c r="G743" s="7"/>
      <c r="H743" s="7"/>
      <c r="I743" s="7"/>
      <c r="J743" s="7"/>
      <c r="K743" s="7"/>
    </row>
    <row r="744">
      <c r="A744" s="7"/>
      <c r="B744" s="7"/>
      <c r="C744" s="7"/>
      <c r="D744" s="7"/>
      <c r="E744" s="7"/>
      <c r="F744" s="7"/>
      <c r="G744" s="7"/>
      <c r="H744" s="7"/>
      <c r="I744" s="7"/>
      <c r="J744" s="7"/>
      <c r="K744" s="7"/>
    </row>
    <row r="745">
      <c r="A745" s="7"/>
      <c r="B745" s="7"/>
      <c r="C745" s="7"/>
      <c r="D745" s="7"/>
      <c r="E745" s="7"/>
      <c r="F745" s="7"/>
      <c r="G745" s="7"/>
      <c r="H745" s="7"/>
      <c r="I745" s="7"/>
      <c r="J745" s="7"/>
      <c r="K745" s="7"/>
    </row>
    <row r="746">
      <c r="A746" s="7"/>
      <c r="B746" s="7"/>
      <c r="C746" s="7"/>
      <c r="D746" s="7"/>
      <c r="E746" s="7"/>
      <c r="F746" s="7"/>
      <c r="G746" s="7"/>
      <c r="H746" s="7"/>
      <c r="I746" s="7"/>
      <c r="J746" s="7"/>
      <c r="K746" s="7"/>
    </row>
    <row r="747">
      <c r="A747" s="7"/>
      <c r="B747" s="7"/>
      <c r="C747" s="7"/>
      <c r="D747" s="7"/>
      <c r="E747" s="7"/>
      <c r="F747" s="7"/>
      <c r="G747" s="7"/>
      <c r="H747" s="7"/>
      <c r="I747" s="7"/>
      <c r="J747" s="7"/>
      <c r="K747" s="7"/>
    </row>
    <row r="748">
      <c r="A748" s="7"/>
      <c r="B748" s="7"/>
      <c r="C748" s="7"/>
      <c r="D748" s="7"/>
      <c r="E748" s="7"/>
      <c r="F748" s="7"/>
      <c r="G748" s="7"/>
      <c r="H748" s="7"/>
      <c r="I748" s="7"/>
      <c r="J748" s="7"/>
      <c r="K748" s="7"/>
    </row>
    <row r="749">
      <c r="A749" s="7"/>
      <c r="B749" s="7"/>
      <c r="C749" s="7"/>
      <c r="D749" s="7"/>
      <c r="E749" s="7"/>
      <c r="F749" s="7"/>
      <c r="G749" s="7"/>
      <c r="H749" s="7"/>
      <c r="I749" s="7"/>
      <c r="J749" s="7"/>
      <c r="K749" s="7"/>
    </row>
    <row r="750">
      <c r="A750" s="7"/>
      <c r="B750" s="7"/>
      <c r="C750" s="7"/>
      <c r="D750" s="7"/>
      <c r="E750" s="7"/>
      <c r="F750" s="7"/>
      <c r="G750" s="7"/>
      <c r="H750" s="7"/>
      <c r="I750" s="7"/>
      <c r="J750" s="7"/>
      <c r="K750" s="7"/>
    </row>
    <row r="751">
      <c r="A751" s="7"/>
      <c r="B751" s="7"/>
      <c r="C751" s="7"/>
      <c r="D751" s="7"/>
      <c r="E751" s="7"/>
      <c r="F751" s="7"/>
      <c r="G751" s="7"/>
      <c r="H751" s="7"/>
      <c r="I751" s="7"/>
      <c r="J751" s="7"/>
      <c r="K751" s="7"/>
    </row>
    <row r="752">
      <c r="A752" s="7"/>
      <c r="B752" s="7"/>
      <c r="C752" s="7"/>
      <c r="D752" s="7"/>
      <c r="E752" s="7"/>
      <c r="F752" s="7"/>
      <c r="G752" s="7"/>
      <c r="H752" s="7"/>
      <c r="I752" s="7"/>
      <c r="J752" s="7"/>
      <c r="K752" s="7"/>
    </row>
    <row r="753">
      <c r="A753" s="7"/>
      <c r="B753" s="7"/>
      <c r="C753" s="7"/>
      <c r="D753" s="7"/>
      <c r="E753" s="7"/>
      <c r="F753" s="7"/>
      <c r="G753" s="7"/>
      <c r="H753" s="7"/>
      <c r="I753" s="7"/>
      <c r="J753" s="7"/>
      <c r="K753" s="7"/>
    </row>
    <row r="754">
      <c r="A754" s="7"/>
      <c r="B754" s="7"/>
      <c r="C754" s="7"/>
      <c r="D754" s="7"/>
      <c r="E754" s="7"/>
      <c r="F754" s="7"/>
      <c r="G754" s="7"/>
      <c r="H754" s="7"/>
      <c r="I754" s="7"/>
      <c r="J754" s="7"/>
      <c r="K754" s="7"/>
    </row>
    <row r="755">
      <c r="A755" s="7"/>
      <c r="B755" s="7"/>
      <c r="C755" s="7"/>
      <c r="D755" s="7"/>
      <c r="E755" s="7"/>
      <c r="F755" s="7"/>
      <c r="G755" s="7"/>
      <c r="H755" s="7"/>
      <c r="I755" s="7"/>
      <c r="J755" s="7"/>
      <c r="K755" s="7"/>
    </row>
    <row r="756">
      <c r="A756" s="7"/>
      <c r="B756" s="7"/>
      <c r="C756" s="7"/>
      <c r="D756" s="7"/>
      <c r="E756" s="7"/>
      <c r="F756" s="7"/>
      <c r="G756" s="7"/>
      <c r="H756" s="7"/>
      <c r="I756" s="7"/>
      <c r="J756" s="7"/>
      <c r="K756" s="7"/>
    </row>
    <row r="757">
      <c r="A757" s="7"/>
      <c r="B757" s="7"/>
      <c r="C757" s="7"/>
      <c r="D757" s="7"/>
      <c r="E757" s="7"/>
      <c r="F757" s="7"/>
      <c r="G757" s="7"/>
      <c r="H757" s="7"/>
      <c r="I757" s="7"/>
      <c r="J757" s="7"/>
      <c r="K757" s="7"/>
    </row>
    <row r="758">
      <c r="A758" s="7"/>
      <c r="B758" s="7"/>
      <c r="C758" s="7"/>
      <c r="D758" s="7"/>
      <c r="E758" s="7"/>
      <c r="F758" s="7"/>
      <c r="G758" s="7"/>
      <c r="H758" s="7"/>
      <c r="I758" s="7"/>
      <c r="J758" s="7"/>
      <c r="K758" s="7"/>
    </row>
    <row r="759">
      <c r="A759" s="7"/>
      <c r="B759" s="7"/>
      <c r="C759" s="7"/>
      <c r="D759" s="7"/>
      <c r="E759" s="7"/>
      <c r="F759" s="7"/>
      <c r="G759" s="7"/>
      <c r="H759" s="7"/>
      <c r="I759" s="7"/>
      <c r="J759" s="7"/>
      <c r="K759" s="7"/>
    </row>
    <row r="760">
      <c r="A760" s="7"/>
      <c r="B760" s="7"/>
      <c r="C760" s="7"/>
      <c r="D760" s="7"/>
      <c r="E760" s="7"/>
      <c r="F760" s="7"/>
      <c r="G760" s="7"/>
      <c r="H760" s="7"/>
      <c r="I760" s="7"/>
      <c r="J760" s="7"/>
      <c r="K760" s="7"/>
    </row>
    <row r="761">
      <c r="A761" s="7"/>
      <c r="B761" s="7"/>
      <c r="C761" s="7"/>
      <c r="D761" s="7"/>
      <c r="E761" s="7"/>
      <c r="F761" s="7"/>
      <c r="G761" s="7"/>
      <c r="H761" s="7"/>
      <c r="I761" s="7"/>
      <c r="J761" s="7"/>
      <c r="K761" s="7"/>
    </row>
    <row r="762">
      <c r="A762" s="7"/>
      <c r="B762" s="7"/>
      <c r="C762" s="7"/>
      <c r="D762" s="7"/>
      <c r="E762" s="7"/>
      <c r="F762" s="7"/>
      <c r="G762" s="7"/>
      <c r="H762" s="7"/>
      <c r="I762" s="7"/>
      <c r="J762" s="7"/>
      <c r="K762" s="7"/>
    </row>
    <row r="763">
      <c r="A763" s="7"/>
      <c r="B763" s="7"/>
      <c r="C763" s="7"/>
      <c r="D763" s="7"/>
      <c r="E763" s="7"/>
      <c r="F763" s="7"/>
      <c r="G763" s="7"/>
      <c r="H763" s="7"/>
      <c r="I763" s="7"/>
      <c r="J763" s="7"/>
      <c r="K763" s="7"/>
    </row>
    <row r="764">
      <c r="A764" s="7"/>
      <c r="B764" s="7"/>
      <c r="C764" s="7"/>
      <c r="D764" s="7"/>
      <c r="E764" s="7"/>
      <c r="F764" s="7"/>
      <c r="G764" s="7"/>
      <c r="H764" s="7"/>
      <c r="I764" s="7"/>
      <c r="J764" s="7"/>
      <c r="K764" s="7"/>
    </row>
    <row r="765">
      <c r="A765" s="7"/>
      <c r="B765" s="7"/>
      <c r="C765" s="7"/>
      <c r="D765" s="7"/>
      <c r="E765" s="7"/>
      <c r="F765" s="7"/>
      <c r="G765" s="7"/>
      <c r="H765" s="7"/>
      <c r="I765" s="7"/>
      <c r="J765" s="7"/>
      <c r="K765" s="7"/>
    </row>
    <row r="766">
      <c r="A766" s="7"/>
      <c r="B766" s="7"/>
      <c r="C766" s="7"/>
      <c r="D766" s="7"/>
      <c r="E766" s="7"/>
      <c r="F766" s="7"/>
      <c r="G766" s="7"/>
      <c r="H766" s="7"/>
      <c r="I766" s="7"/>
      <c r="J766" s="7"/>
      <c r="K766" s="7"/>
    </row>
    <row r="767">
      <c r="A767" s="7"/>
      <c r="B767" s="7"/>
      <c r="C767" s="7"/>
      <c r="D767" s="7"/>
      <c r="E767" s="7"/>
      <c r="F767" s="7"/>
      <c r="G767" s="7"/>
      <c r="H767" s="7"/>
      <c r="I767" s="7"/>
      <c r="J767" s="7"/>
      <c r="K767" s="7"/>
    </row>
    <row r="768">
      <c r="A768" s="7"/>
      <c r="B768" s="7"/>
      <c r="C768" s="7"/>
      <c r="D768" s="7"/>
      <c r="E768" s="7"/>
      <c r="F768" s="7"/>
      <c r="G768" s="7"/>
      <c r="H768" s="7"/>
      <c r="I768" s="7"/>
      <c r="J768" s="7"/>
      <c r="K768" s="7"/>
    </row>
    <row r="769">
      <c r="A769" s="7"/>
      <c r="B769" s="7"/>
      <c r="C769" s="7"/>
      <c r="D769" s="7"/>
      <c r="E769" s="7"/>
      <c r="F769" s="7"/>
      <c r="G769" s="7"/>
      <c r="H769" s="7"/>
      <c r="I769" s="7"/>
      <c r="J769" s="7"/>
      <c r="K769" s="7"/>
    </row>
    <row r="770">
      <c r="A770" s="7"/>
      <c r="B770" s="7"/>
      <c r="C770" s="7"/>
      <c r="D770" s="7"/>
      <c r="E770" s="7"/>
      <c r="F770" s="7"/>
      <c r="G770" s="7"/>
      <c r="H770" s="7"/>
      <c r="I770" s="7"/>
      <c r="J770" s="7"/>
      <c r="K770" s="7"/>
    </row>
    <row r="771">
      <c r="A771" s="7"/>
      <c r="B771" s="7"/>
      <c r="C771" s="7"/>
      <c r="D771" s="7"/>
      <c r="E771" s="7"/>
      <c r="F771" s="7"/>
      <c r="G771" s="7"/>
      <c r="H771" s="7"/>
      <c r="I771" s="7"/>
      <c r="J771" s="7"/>
      <c r="K771" s="7"/>
    </row>
    <row r="772">
      <c r="A772" s="7"/>
      <c r="B772" s="7"/>
      <c r="C772" s="7"/>
      <c r="D772" s="7"/>
      <c r="E772" s="7"/>
      <c r="F772" s="7"/>
      <c r="G772" s="7"/>
      <c r="H772" s="7"/>
      <c r="I772" s="7"/>
      <c r="J772" s="7"/>
      <c r="K772" s="7"/>
    </row>
    <row r="773">
      <c r="A773" s="7"/>
      <c r="B773" s="7"/>
      <c r="C773" s="7"/>
      <c r="D773" s="7"/>
      <c r="E773" s="7"/>
      <c r="F773" s="7"/>
      <c r="G773" s="7"/>
      <c r="H773" s="7"/>
      <c r="I773" s="7"/>
      <c r="J773" s="7"/>
      <c r="K773" s="7"/>
    </row>
    <row r="774">
      <c r="A774" s="7"/>
      <c r="B774" s="7"/>
      <c r="C774" s="7"/>
      <c r="D774" s="7"/>
      <c r="E774" s="7"/>
      <c r="F774" s="7"/>
      <c r="G774" s="7"/>
      <c r="H774" s="7"/>
      <c r="I774" s="7"/>
      <c r="J774" s="7"/>
      <c r="K774" s="7"/>
    </row>
    <row r="775">
      <c r="A775" s="7"/>
      <c r="B775" s="7"/>
      <c r="C775" s="7"/>
      <c r="D775" s="7"/>
      <c r="E775" s="7"/>
      <c r="F775" s="7"/>
      <c r="G775" s="7"/>
      <c r="H775" s="7"/>
      <c r="I775" s="7"/>
      <c r="J775" s="7"/>
      <c r="K775" s="7"/>
    </row>
    <row r="776">
      <c r="A776" s="7"/>
      <c r="B776" s="7"/>
      <c r="C776" s="7"/>
      <c r="D776" s="7"/>
      <c r="E776" s="7"/>
      <c r="F776" s="7"/>
      <c r="G776" s="7"/>
      <c r="H776" s="7"/>
      <c r="I776" s="7"/>
      <c r="J776" s="7"/>
      <c r="K776" s="7"/>
    </row>
    <row r="777">
      <c r="A777" s="7"/>
      <c r="B777" s="7"/>
      <c r="C777" s="7"/>
      <c r="D777" s="7"/>
      <c r="E777" s="7"/>
      <c r="F777" s="7"/>
      <c r="G777" s="7"/>
      <c r="H777" s="7"/>
      <c r="I777" s="7"/>
      <c r="J777" s="7"/>
      <c r="K777" s="7"/>
    </row>
    <row r="778">
      <c r="A778" s="7"/>
      <c r="B778" s="7"/>
      <c r="C778" s="7"/>
      <c r="D778" s="7"/>
      <c r="E778" s="7"/>
      <c r="F778" s="7"/>
      <c r="G778" s="7"/>
      <c r="H778" s="7"/>
      <c r="I778" s="7"/>
      <c r="J778" s="7"/>
      <c r="K778" s="7"/>
    </row>
    <row r="779">
      <c r="A779" s="7"/>
      <c r="B779" s="7"/>
      <c r="C779" s="7"/>
      <c r="D779" s="7"/>
      <c r="E779" s="7"/>
      <c r="F779" s="7"/>
      <c r="G779" s="7"/>
      <c r="H779" s="7"/>
      <c r="I779" s="7"/>
      <c r="J779" s="7"/>
      <c r="K779" s="7"/>
    </row>
    <row r="780">
      <c r="A780" s="7"/>
      <c r="B780" s="7"/>
      <c r="C780" s="7"/>
      <c r="D780" s="7"/>
      <c r="E780" s="7"/>
      <c r="F780" s="7"/>
      <c r="G780" s="7"/>
      <c r="H780" s="7"/>
      <c r="I780" s="7"/>
      <c r="J780" s="7"/>
      <c r="K780" s="7"/>
    </row>
    <row r="781">
      <c r="A781" s="7"/>
      <c r="B781" s="7"/>
      <c r="C781" s="7"/>
      <c r="D781" s="7"/>
      <c r="E781" s="7"/>
      <c r="F781" s="7"/>
      <c r="G781" s="7"/>
      <c r="H781" s="7"/>
      <c r="I781" s="7"/>
      <c r="J781" s="7"/>
      <c r="K781" s="7"/>
    </row>
    <row r="782">
      <c r="A782" s="7"/>
      <c r="B782" s="7"/>
      <c r="C782" s="7"/>
      <c r="D782" s="7"/>
      <c r="E782" s="7"/>
      <c r="F782" s="7"/>
      <c r="G782" s="7"/>
      <c r="H782" s="7"/>
      <c r="I782" s="7"/>
      <c r="J782" s="7"/>
      <c r="K782" s="7"/>
    </row>
    <row r="783">
      <c r="A783" s="7"/>
      <c r="B783" s="7"/>
      <c r="C783" s="7"/>
      <c r="D783" s="7"/>
      <c r="E783" s="7"/>
      <c r="F783" s="7"/>
      <c r="G783" s="7"/>
      <c r="H783" s="7"/>
      <c r="I783" s="7"/>
      <c r="J783" s="7"/>
      <c r="K783" s="7"/>
    </row>
    <row r="784">
      <c r="A784" s="7"/>
      <c r="B784" s="7"/>
      <c r="C784" s="7"/>
      <c r="D784" s="7"/>
      <c r="E784" s="7"/>
      <c r="F784" s="7"/>
      <c r="G784" s="7"/>
      <c r="H784" s="7"/>
      <c r="I784" s="7"/>
      <c r="J784" s="7"/>
      <c r="K784" s="7"/>
    </row>
    <row r="785">
      <c r="A785" s="7"/>
      <c r="B785" s="7"/>
      <c r="C785" s="7"/>
      <c r="D785" s="7"/>
      <c r="E785" s="7"/>
      <c r="F785" s="7"/>
      <c r="G785" s="7"/>
      <c r="H785" s="7"/>
      <c r="I785" s="7"/>
      <c r="J785" s="7"/>
      <c r="K785" s="7"/>
    </row>
    <row r="786">
      <c r="A786" s="7"/>
      <c r="B786" s="7"/>
      <c r="C786" s="7"/>
      <c r="D786" s="7"/>
      <c r="E786" s="7"/>
      <c r="F786" s="7"/>
      <c r="G786" s="7"/>
      <c r="H786" s="7"/>
      <c r="I786" s="7"/>
      <c r="J786" s="7"/>
      <c r="K786" s="7"/>
    </row>
    <row r="787">
      <c r="A787" s="7"/>
      <c r="B787" s="7"/>
      <c r="C787" s="7"/>
      <c r="D787" s="7"/>
      <c r="E787" s="7"/>
      <c r="F787" s="7"/>
      <c r="G787" s="7"/>
      <c r="H787" s="7"/>
      <c r="I787" s="7"/>
      <c r="J787" s="7"/>
      <c r="K787" s="7"/>
    </row>
    <row r="788">
      <c r="A788" s="7"/>
      <c r="B788" s="7"/>
      <c r="C788" s="7"/>
      <c r="D788" s="7"/>
      <c r="E788" s="7"/>
      <c r="F788" s="7"/>
      <c r="G788" s="7"/>
      <c r="H788" s="7"/>
      <c r="I788" s="7"/>
      <c r="J788" s="7"/>
      <c r="K788" s="7"/>
    </row>
    <row r="789">
      <c r="A789" s="7"/>
      <c r="B789" s="7"/>
      <c r="C789" s="7"/>
      <c r="D789" s="7"/>
      <c r="E789" s="7"/>
      <c r="F789" s="7"/>
      <c r="G789" s="7"/>
      <c r="H789" s="7"/>
      <c r="I789" s="7"/>
      <c r="J789" s="7"/>
      <c r="K789" s="7"/>
    </row>
    <row r="790">
      <c r="A790" s="7"/>
      <c r="B790" s="7"/>
      <c r="C790" s="7"/>
      <c r="D790" s="7"/>
      <c r="E790" s="7"/>
      <c r="F790" s="7"/>
      <c r="G790" s="7"/>
      <c r="H790" s="7"/>
      <c r="I790" s="7"/>
      <c r="J790" s="7"/>
      <c r="K790" s="7"/>
    </row>
    <row r="791">
      <c r="A791" s="7"/>
      <c r="B791" s="7"/>
      <c r="C791" s="7"/>
      <c r="D791" s="7"/>
      <c r="E791" s="7"/>
      <c r="F791" s="7"/>
      <c r="G791" s="7"/>
      <c r="H791" s="7"/>
      <c r="I791" s="7"/>
      <c r="J791" s="7"/>
      <c r="K791" s="7"/>
    </row>
    <row r="792">
      <c r="A792" s="7"/>
      <c r="B792" s="7"/>
      <c r="C792" s="7"/>
      <c r="D792" s="7"/>
      <c r="E792" s="7"/>
      <c r="F792" s="7"/>
      <c r="G792" s="7"/>
      <c r="H792" s="7"/>
      <c r="I792" s="7"/>
      <c r="J792" s="7"/>
      <c r="K792" s="7"/>
    </row>
    <row r="793">
      <c r="A793" s="7"/>
      <c r="B793" s="7"/>
      <c r="C793" s="7"/>
      <c r="D793" s="7"/>
      <c r="E793" s="7"/>
      <c r="F793" s="7"/>
      <c r="G793" s="7"/>
      <c r="H793" s="7"/>
      <c r="I793" s="7"/>
      <c r="J793" s="7"/>
      <c r="K793" s="7"/>
    </row>
    <row r="794">
      <c r="A794" s="7"/>
      <c r="B794" s="7"/>
      <c r="C794" s="7"/>
      <c r="D794" s="7"/>
      <c r="E794" s="7"/>
      <c r="F794" s="7"/>
      <c r="G794" s="7"/>
      <c r="H794" s="7"/>
      <c r="I794" s="7"/>
      <c r="J794" s="7"/>
      <c r="K794" s="7"/>
    </row>
    <row r="795">
      <c r="A795" s="7"/>
      <c r="B795" s="7"/>
      <c r="C795" s="7"/>
      <c r="D795" s="7"/>
      <c r="E795" s="7"/>
      <c r="F795" s="7"/>
      <c r="G795" s="7"/>
      <c r="H795" s="7"/>
      <c r="I795" s="7"/>
      <c r="J795" s="7"/>
      <c r="K795" s="7"/>
    </row>
    <row r="796">
      <c r="A796" s="7"/>
      <c r="B796" s="7"/>
      <c r="C796" s="7"/>
      <c r="D796" s="7"/>
      <c r="E796" s="7"/>
      <c r="F796" s="7"/>
      <c r="G796" s="7"/>
      <c r="H796" s="7"/>
      <c r="I796" s="7"/>
      <c r="J796" s="7"/>
      <c r="K796" s="7"/>
    </row>
    <row r="797">
      <c r="A797" s="7"/>
      <c r="B797" s="7"/>
      <c r="C797" s="7"/>
      <c r="D797" s="7"/>
      <c r="E797" s="7"/>
      <c r="F797" s="7"/>
      <c r="G797" s="7"/>
      <c r="H797" s="7"/>
      <c r="I797" s="7"/>
      <c r="J797" s="7"/>
      <c r="K797" s="7"/>
    </row>
    <row r="798">
      <c r="A798" s="7"/>
      <c r="B798" s="7"/>
      <c r="C798" s="7"/>
      <c r="D798" s="7"/>
      <c r="E798" s="7"/>
      <c r="F798" s="7"/>
      <c r="G798" s="7"/>
      <c r="H798" s="7"/>
      <c r="I798" s="7"/>
      <c r="J798" s="7"/>
      <c r="K798" s="7"/>
    </row>
    <row r="799">
      <c r="A799" s="7"/>
      <c r="B799" s="7"/>
      <c r="C799" s="7"/>
      <c r="D799" s="7"/>
      <c r="E799" s="7"/>
      <c r="F799" s="7"/>
      <c r="G799" s="7"/>
      <c r="H799" s="7"/>
      <c r="I799" s="7"/>
      <c r="J799" s="7"/>
      <c r="K799" s="7"/>
    </row>
    <row r="800">
      <c r="A800" s="7"/>
      <c r="B800" s="7"/>
      <c r="C800" s="7"/>
      <c r="D800" s="7"/>
      <c r="E800" s="7"/>
      <c r="F800" s="7"/>
      <c r="G800" s="7"/>
      <c r="H800" s="7"/>
      <c r="I800" s="7"/>
      <c r="J800" s="7"/>
      <c r="K800" s="7"/>
    </row>
    <row r="801">
      <c r="A801" s="7"/>
      <c r="B801" s="7"/>
      <c r="C801" s="7"/>
      <c r="D801" s="7"/>
      <c r="E801" s="7"/>
      <c r="F801" s="7"/>
      <c r="G801" s="7"/>
      <c r="H801" s="7"/>
      <c r="I801" s="7"/>
      <c r="J801" s="7"/>
      <c r="K801" s="7"/>
    </row>
    <row r="802">
      <c r="A802" s="7"/>
      <c r="B802" s="7"/>
      <c r="C802" s="7"/>
      <c r="D802" s="7"/>
      <c r="E802" s="7"/>
      <c r="F802" s="7"/>
      <c r="G802" s="7"/>
      <c r="H802" s="7"/>
      <c r="I802" s="7"/>
      <c r="J802" s="7"/>
      <c r="K802" s="7"/>
    </row>
    <row r="803">
      <c r="A803" s="7"/>
      <c r="B803" s="7"/>
      <c r="C803" s="7"/>
      <c r="D803" s="7"/>
      <c r="E803" s="7"/>
      <c r="F803" s="7"/>
      <c r="G803" s="7"/>
      <c r="H803" s="7"/>
      <c r="I803" s="7"/>
      <c r="J803" s="7"/>
      <c r="K803" s="7"/>
    </row>
    <row r="804">
      <c r="A804" s="7"/>
      <c r="B804" s="7"/>
      <c r="C804" s="7"/>
      <c r="D804" s="7"/>
      <c r="E804" s="7"/>
      <c r="F804" s="7"/>
      <c r="G804" s="7"/>
      <c r="H804" s="7"/>
      <c r="I804" s="7"/>
      <c r="J804" s="7"/>
      <c r="K804" s="7"/>
    </row>
    <row r="805">
      <c r="A805" s="7"/>
      <c r="B805" s="7"/>
      <c r="C805" s="7"/>
      <c r="D805" s="7"/>
      <c r="E805" s="7"/>
      <c r="F805" s="7"/>
      <c r="G805" s="7"/>
      <c r="H805" s="7"/>
      <c r="I805" s="7"/>
      <c r="J805" s="7"/>
      <c r="K805" s="7"/>
    </row>
    <row r="806">
      <c r="A806" s="7"/>
      <c r="B806" s="7"/>
      <c r="C806" s="7"/>
      <c r="D806" s="7"/>
      <c r="E806" s="7"/>
      <c r="F806" s="7"/>
      <c r="G806" s="7"/>
      <c r="H806" s="7"/>
      <c r="I806" s="7"/>
      <c r="J806" s="7"/>
      <c r="K806" s="7"/>
    </row>
    <row r="807">
      <c r="A807" s="7"/>
      <c r="B807" s="7"/>
      <c r="C807" s="7"/>
      <c r="D807" s="7"/>
      <c r="E807" s="7"/>
      <c r="F807" s="7"/>
      <c r="G807" s="7"/>
      <c r="H807" s="7"/>
      <c r="I807" s="7"/>
      <c r="J807" s="7"/>
      <c r="K807" s="7"/>
    </row>
    <row r="808">
      <c r="A808" s="7"/>
      <c r="B808" s="7"/>
      <c r="C808" s="7"/>
      <c r="D808" s="7"/>
      <c r="E808" s="7"/>
      <c r="F808" s="7"/>
      <c r="G808" s="7"/>
      <c r="H808" s="7"/>
      <c r="I808" s="7"/>
      <c r="J808" s="7"/>
      <c r="K808" s="7"/>
    </row>
    <row r="809">
      <c r="A809" s="7"/>
      <c r="B809" s="7"/>
      <c r="C809" s="7"/>
      <c r="D809" s="7"/>
      <c r="E809" s="7"/>
      <c r="F809" s="7"/>
      <c r="G809" s="7"/>
      <c r="H809" s="7"/>
      <c r="I809" s="7"/>
      <c r="J809" s="7"/>
      <c r="K809" s="7"/>
    </row>
    <row r="810">
      <c r="A810" s="7"/>
      <c r="B810" s="7"/>
      <c r="C810" s="7"/>
      <c r="D810" s="7"/>
      <c r="E810" s="7"/>
      <c r="F810" s="7"/>
      <c r="G810" s="7"/>
      <c r="H810" s="7"/>
      <c r="I810" s="7"/>
      <c r="J810" s="7"/>
      <c r="K810" s="7"/>
    </row>
    <row r="811">
      <c r="A811" s="7"/>
      <c r="B811" s="7"/>
      <c r="C811" s="7"/>
      <c r="D811" s="7"/>
      <c r="E811" s="7"/>
      <c r="F811" s="7"/>
      <c r="G811" s="7"/>
      <c r="H811" s="7"/>
      <c r="I811" s="7"/>
      <c r="J811" s="7"/>
      <c r="K811" s="7"/>
    </row>
    <row r="812">
      <c r="A812" s="7"/>
      <c r="B812" s="7"/>
      <c r="C812" s="7"/>
      <c r="D812" s="7"/>
      <c r="E812" s="7"/>
      <c r="F812" s="7"/>
      <c r="G812" s="7"/>
      <c r="H812" s="7"/>
      <c r="I812" s="7"/>
      <c r="J812" s="7"/>
      <c r="K812" s="7"/>
    </row>
    <row r="813">
      <c r="A813" s="7"/>
      <c r="B813" s="7"/>
      <c r="C813" s="7"/>
      <c r="D813" s="7"/>
      <c r="E813" s="7"/>
      <c r="F813" s="7"/>
      <c r="G813" s="7"/>
      <c r="H813" s="7"/>
      <c r="I813" s="7"/>
      <c r="J813" s="7"/>
      <c r="K813" s="7"/>
    </row>
    <row r="814">
      <c r="A814" s="7"/>
      <c r="B814" s="7"/>
      <c r="C814" s="7"/>
      <c r="D814" s="7"/>
      <c r="E814" s="7"/>
      <c r="F814" s="7"/>
      <c r="G814" s="7"/>
      <c r="H814" s="7"/>
      <c r="I814" s="7"/>
      <c r="J814" s="7"/>
      <c r="K814" s="7"/>
    </row>
    <row r="815">
      <c r="A815" s="7"/>
      <c r="B815" s="7"/>
      <c r="C815" s="7"/>
      <c r="D815" s="7"/>
      <c r="E815" s="7"/>
      <c r="F815" s="7"/>
      <c r="G815" s="7"/>
      <c r="H815" s="7"/>
      <c r="I815" s="7"/>
      <c r="J815" s="7"/>
      <c r="K815" s="7"/>
    </row>
    <row r="816">
      <c r="A816" s="7"/>
      <c r="B816" s="7"/>
      <c r="C816" s="7"/>
      <c r="D816" s="7"/>
      <c r="E816" s="7"/>
      <c r="F816" s="7"/>
      <c r="G816" s="7"/>
      <c r="H816" s="7"/>
      <c r="I816" s="7"/>
      <c r="J816" s="7"/>
      <c r="K816" s="7"/>
    </row>
    <row r="817">
      <c r="A817" s="7"/>
      <c r="B817" s="7"/>
      <c r="C817" s="7"/>
      <c r="D817" s="7"/>
      <c r="E817" s="7"/>
      <c r="F817" s="7"/>
      <c r="G817" s="7"/>
      <c r="H817" s="7"/>
      <c r="I817" s="7"/>
      <c r="J817" s="7"/>
      <c r="K817" s="7"/>
    </row>
    <row r="818">
      <c r="A818" s="7"/>
      <c r="B818" s="7"/>
      <c r="C818" s="7"/>
      <c r="D818" s="7"/>
      <c r="E818" s="7"/>
      <c r="F818" s="7"/>
      <c r="G818" s="7"/>
      <c r="H818" s="7"/>
      <c r="I818" s="7"/>
      <c r="J818" s="7"/>
      <c r="K818" s="7"/>
    </row>
    <row r="819">
      <c r="A819" s="7"/>
      <c r="B819" s="7"/>
      <c r="C819" s="7"/>
      <c r="D819" s="7"/>
      <c r="E819" s="7"/>
      <c r="F819" s="7"/>
      <c r="G819" s="7"/>
      <c r="H819" s="7"/>
      <c r="I819" s="7"/>
      <c r="J819" s="7"/>
      <c r="K819" s="7"/>
    </row>
    <row r="820">
      <c r="A820" s="7"/>
      <c r="B820" s="7"/>
      <c r="C820" s="7"/>
      <c r="D820" s="7"/>
      <c r="E820" s="7"/>
      <c r="F820" s="7"/>
      <c r="G820" s="7"/>
      <c r="H820" s="7"/>
      <c r="I820" s="7"/>
      <c r="J820" s="7"/>
      <c r="K820" s="7"/>
    </row>
    <row r="821">
      <c r="A821" s="7"/>
      <c r="B821" s="7"/>
      <c r="C821" s="7"/>
      <c r="D821" s="7"/>
      <c r="E821" s="7"/>
      <c r="F821" s="7"/>
      <c r="G821" s="7"/>
      <c r="H821" s="7"/>
      <c r="I821" s="7"/>
      <c r="J821" s="7"/>
      <c r="K821" s="7"/>
    </row>
    <row r="822">
      <c r="A822" s="7"/>
      <c r="B822" s="7"/>
      <c r="C822" s="7"/>
      <c r="D822" s="7"/>
      <c r="E822" s="7"/>
      <c r="F822" s="7"/>
      <c r="G822" s="7"/>
      <c r="H822" s="7"/>
      <c r="I822" s="7"/>
      <c r="J822" s="7"/>
      <c r="K822" s="7"/>
    </row>
    <row r="823">
      <c r="A823" s="7"/>
      <c r="B823" s="7"/>
      <c r="C823" s="7"/>
      <c r="D823" s="7"/>
      <c r="E823" s="7"/>
      <c r="F823" s="7"/>
      <c r="G823" s="7"/>
      <c r="H823" s="7"/>
      <c r="I823" s="7"/>
      <c r="J823" s="7"/>
      <c r="K823" s="7"/>
    </row>
    <row r="824">
      <c r="A824" s="7"/>
      <c r="B824" s="7"/>
      <c r="C824" s="7"/>
      <c r="D824" s="7"/>
      <c r="E824" s="7"/>
      <c r="F824" s="7"/>
      <c r="G824" s="7"/>
      <c r="H824" s="7"/>
      <c r="I824" s="7"/>
      <c r="J824" s="7"/>
      <c r="K824" s="7"/>
    </row>
    <row r="825">
      <c r="A825" s="7"/>
      <c r="B825" s="7"/>
      <c r="C825" s="7"/>
      <c r="D825" s="7"/>
      <c r="E825" s="7"/>
      <c r="F825" s="7"/>
      <c r="G825" s="7"/>
      <c r="H825" s="7"/>
      <c r="I825" s="7"/>
      <c r="J825" s="7"/>
      <c r="K825" s="7"/>
    </row>
    <row r="826">
      <c r="A826" s="7"/>
      <c r="B826" s="7"/>
      <c r="C826" s="7"/>
      <c r="D826" s="7"/>
      <c r="E826" s="7"/>
      <c r="F826" s="7"/>
      <c r="G826" s="7"/>
      <c r="H826" s="7"/>
      <c r="I826" s="7"/>
      <c r="J826" s="7"/>
      <c r="K826" s="7"/>
    </row>
    <row r="827">
      <c r="A827" s="7"/>
      <c r="B827" s="7"/>
      <c r="C827" s="7"/>
      <c r="D827" s="7"/>
      <c r="E827" s="7"/>
      <c r="F827" s="7"/>
      <c r="G827" s="7"/>
      <c r="H827" s="7"/>
      <c r="I827" s="7"/>
      <c r="J827" s="7"/>
      <c r="K827" s="7"/>
    </row>
    <row r="828">
      <c r="A828" s="7"/>
      <c r="B828" s="7"/>
      <c r="C828" s="7"/>
      <c r="D828" s="7"/>
      <c r="E828" s="7"/>
      <c r="F828" s="7"/>
      <c r="G828" s="7"/>
      <c r="H828" s="7"/>
      <c r="I828" s="7"/>
      <c r="J828" s="7"/>
      <c r="K828" s="7"/>
    </row>
    <row r="829">
      <c r="A829" s="7"/>
      <c r="B829" s="7"/>
      <c r="C829" s="7"/>
      <c r="D829" s="7"/>
      <c r="E829" s="7"/>
      <c r="F829" s="7"/>
      <c r="G829" s="7"/>
      <c r="H829" s="7"/>
      <c r="I829" s="7"/>
      <c r="J829" s="7"/>
      <c r="K829" s="7"/>
    </row>
    <row r="830">
      <c r="A830" s="7"/>
      <c r="B830" s="7"/>
      <c r="C830" s="7"/>
      <c r="D830" s="7"/>
      <c r="E830" s="7"/>
      <c r="F830" s="7"/>
      <c r="G830" s="7"/>
      <c r="H830" s="7"/>
      <c r="I830" s="7"/>
      <c r="J830" s="7"/>
      <c r="K830" s="7"/>
    </row>
    <row r="831">
      <c r="A831" s="7"/>
      <c r="B831" s="7"/>
      <c r="C831" s="7"/>
      <c r="D831" s="7"/>
      <c r="E831" s="7"/>
      <c r="F831" s="7"/>
      <c r="G831" s="7"/>
      <c r="H831" s="7"/>
      <c r="I831" s="7"/>
      <c r="J831" s="7"/>
      <c r="K831" s="7"/>
    </row>
    <row r="832">
      <c r="A832" s="7"/>
      <c r="B832" s="7"/>
      <c r="C832" s="7"/>
      <c r="D832" s="7"/>
      <c r="E832" s="7"/>
      <c r="F832" s="7"/>
      <c r="G832" s="7"/>
      <c r="H832" s="7"/>
      <c r="I832" s="7"/>
      <c r="J832" s="7"/>
      <c r="K832" s="7"/>
    </row>
    <row r="833">
      <c r="A833" s="7"/>
      <c r="B833" s="7"/>
      <c r="C833" s="7"/>
      <c r="D833" s="7"/>
      <c r="E833" s="7"/>
      <c r="F833" s="7"/>
      <c r="G833" s="7"/>
      <c r="H833" s="7"/>
      <c r="I833" s="7"/>
      <c r="J833" s="7"/>
      <c r="K833" s="7"/>
    </row>
    <row r="834">
      <c r="A834" s="7"/>
      <c r="B834" s="7"/>
      <c r="C834" s="7"/>
      <c r="D834" s="7"/>
      <c r="E834" s="7"/>
      <c r="F834" s="7"/>
      <c r="G834" s="7"/>
      <c r="H834" s="7"/>
      <c r="I834" s="7"/>
      <c r="J834" s="7"/>
      <c r="K834" s="7"/>
    </row>
    <row r="835">
      <c r="A835" s="7"/>
      <c r="B835" s="7"/>
      <c r="C835" s="7"/>
      <c r="D835" s="7"/>
      <c r="E835" s="7"/>
      <c r="F835" s="7"/>
      <c r="G835" s="7"/>
      <c r="H835" s="7"/>
      <c r="I835" s="7"/>
      <c r="J835" s="7"/>
      <c r="K835" s="7"/>
    </row>
    <row r="836">
      <c r="A836" s="7"/>
      <c r="B836" s="7"/>
      <c r="C836" s="7"/>
      <c r="D836" s="7"/>
      <c r="E836" s="7"/>
      <c r="F836" s="7"/>
      <c r="G836" s="7"/>
      <c r="H836" s="7"/>
      <c r="I836" s="7"/>
      <c r="J836" s="7"/>
      <c r="K836" s="7"/>
    </row>
    <row r="837">
      <c r="A837" s="7"/>
      <c r="B837" s="7"/>
      <c r="C837" s="7"/>
      <c r="D837" s="7"/>
      <c r="E837" s="7"/>
      <c r="F837" s="7"/>
      <c r="G837" s="7"/>
      <c r="H837" s="7"/>
      <c r="I837" s="7"/>
      <c r="J837" s="7"/>
      <c r="K837" s="7"/>
    </row>
    <row r="838">
      <c r="A838" s="7"/>
      <c r="B838" s="7"/>
      <c r="C838" s="7"/>
      <c r="D838" s="7"/>
      <c r="E838" s="7"/>
      <c r="F838" s="7"/>
      <c r="G838" s="7"/>
      <c r="H838" s="7"/>
      <c r="I838" s="7"/>
      <c r="J838" s="7"/>
      <c r="K838" s="7"/>
    </row>
    <row r="839">
      <c r="A839" s="7"/>
      <c r="B839" s="7"/>
      <c r="C839" s="7"/>
      <c r="D839" s="7"/>
      <c r="E839" s="7"/>
      <c r="F839" s="7"/>
      <c r="G839" s="7"/>
      <c r="H839" s="7"/>
      <c r="I839" s="7"/>
      <c r="J839" s="7"/>
      <c r="K839" s="7"/>
    </row>
    <row r="840">
      <c r="A840" s="7"/>
      <c r="B840" s="7"/>
      <c r="C840" s="7"/>
      <c r="D840" s="7"/>
      <c r="E840" s="7"/>
      <c r="F840" s="7"/>
      <c r="G840" s="7"/>
      <c r="H840" s="7"/>
      <c r="I840" s="7"/>
      <c r="J840" s="7"/>
      <c r="K840" s="7"/>
    </row>
    <row r="841">
      <c r="A841" s="7"/>
      <c r="B841" s="7"/>
      <c r="C841" s="7"/>
      <c r="D841" s="7"/>
      <c r="E841" s="7"/>
      <c r="F841" s="7"/>
      <c r="G841" s="7"/>
      <c r="H841" s="7"/>
      <c r="I841" s="7"/>
      <c r="J841" s="7"/>
      <c r="K841" s="7"/>
    </row>
    <row r="842">
      <c r="A842" s="7"/>
      <c r="B842" s="7"/>
      <c r="C842" s="7"/>
      <c r="D842" s="7"/>
      <c r="E842" s="7"/>
      <c r="F842" s="7"/>
      <c r="G842" s="7"/>
      <c r="H842" s="7"/>
      <c r="I842" s="7"/>
      <c r="J842" s="7"/>
      <c r="K842" s="7"/>
    </row>
    <row r="843">
      <c r="A843" s="7"/>
      <c r="B843" s="7"/>
      <c r="C843" s="7"/>
      <c r="D843" s="7"/>
      <c r="E843" s="7"/>
      <c r="F843" s="7"/>
      <c r="G843" s="7"/>
      <c r="H843" s="7"/>
      <c r="I843" s="7"/>
      <c r="J843" s="7"/>
      <c r="K843" s="7"/>
    </row>
    <row r="844">
      <c r="A844" s="7"/>
      <c r="B844" s="7"/>
      <c r="C844" s="7"/>
      <c r="D844" s="7"/>
      <c r="E844" s="7"/>
      <c r="F844" s="7"/>
      <c r="G844" s="7"/>
      <c r="H844" s="7"/>
      <c r="I844" s="7"/>
      <c r="J844" s="7"/>
      <c r="K844" s="7"/>
    </row>
    <row r="845">
      <c r="A845" s="7"/>
      <c r="B845" s="7"/>
      <c r="C845" s="7"/>
      <c r="D845" s="7"/>
      <c r="E845" s="7"/>
      <c r="F845" s="7"/>
      <c r="G845" s="7"/>
      <c r="H845" s="7"/>
      <c r="I845" s="7"/>
      <c r="J845" s="7"/>
      <c r="K845" s="7"/>
    </row>
    <row r="846">
      <c r="A846" s="7"/>
      <c r="B846" s="7"/>
      <c r="C846" s="7"/>
      <c r="D846" s="7"/>
      <c r="E846" s="7"/>
      <c r="F846" s="7"/>
      <c r="G846" s="7"/>
      <c r="H846" s="7"/>
      <c r="I846" s="7"/>
      <c r="J846" s="7"/>
      <c r="K846" s="7"/>
    </row>
    <row r="847">
      <c r="A847" s="7"/>
      <c r="B847" s="7"/>
      <c r="C847" s="7"/>
      <c r="D847" s="7"/>
      <c r="E847" s="7"/>
      <c r="F847" s="7"/>
      <c r="G847" s="7"/>
      <c r="H847" s="7"/>
      <c r="I847" s="7"/>
      <c r="J847" s="7"/>
      <c r="K847" s="7"/>
    </row>
    <row r="848">
      <c r="A848" s="7"/>
      <c r="B848" s="7"/>
      <c r="C848" s="7"/>
      <c r="D848" s="7"/>
      <c r="E848" s="7"/>
      <c r="F848" s="7"/>
      <c r="G848" s="7"/>
      <c r="H848" s="7"/>
      <c r="I848" s="7"/>
      <c r="J848" s="7"/>
      <c r="K848" s="7"/>
    </row>
    <row r="849">
      <c r="A849" s="7"/>
      <c r="B849" s="7"/>
      <c r="C849" s="7"/>
      <c r="D849" s="7"/>
      <c r="E849" s="7"/>
      <c r="F849" s="7"/>
      <c r="G849" s="7"/>
      <c r="H849" s="7"/>
      <c r="I849" s="7"/>
      <c r="J849" s="7"/>
      <c r="K849" s="7"/>
    </row>
    <row r="850">
      <c r="A850" s="7"/>
      <c r="B850" s="7"/>
      <c r="C850" s="7"/>
      <c r="D850" s="7"/>
      <c r="E850" s="7"/>
      <c r="F850" s="7"/>
      <c r="G850" s="7"/>
      <c r="H850" s="7"/>
      <c r="I850" s="7"/>
      <c r="J850" s="7"/>
      <c r="K850" s="7"/>
    </row>
    <row r="851">
      <c r="A851" s="7"/>
      <c r="B851" s="7"/>
      <c r="C851" s="7"/>
      <c r="D851" s="7"/>
      <c r="E851" s="7"/>
      <c r="F851" s="7"/>
      <c r="G851" s="7"/>
      <c r="H851" s="7"/>
      <c r="I851" s="7"/>
      <c r="J851" s="7"/>
      <c r="K851" s="7"/>
    </row>
    <row r="852">
      <c r="A852" s="7"/>
      <c r="B852" s="7"/>
      <c r="C852" s="7"/>
      <c r="D852" s="7"/>
      <c r="E852" s="7"/>
      <c r="F852" s="7"/>
      <c r="G852" s="7"/>
      <c r="H852" s="7"/>
      <c r="I852" s="7"/>
      <c r="J852" s="7"/>
      <c r="K852" s="7"/>
    </row>
    <row r="853">
      <c r="A853" s="7"/>
      <c r="B853" s="7"/>
      <c r="C853" s="7"/>
      <c r="D853" s="7"/>
      <c r="E853" s="7"/>
      <c r="F853" s="7"/>
      <c r="G853" s="7"/>
      <c r="H853" s="7"/>
      <c r="I853" s="7"/>
      <c r="J853" s="7"/>
      <c r="K853" s="7"/>
    </row>
    <row r="854">
      <c r="A854" s="7"/>
      <c r="B854" s="7"/>
      <c r="C854" s="7"/>
      <c r="D854" s="7"/>
      <c r="E854" s="7"/>
      <c r="F854" s="7"/>
      <c r="G854" s="7"/>
      <c r="H854" s="7"/>
      <c r="I854" s="7"/>
      <c r="J854" s="7"/>
      <c r="K854" s="7"/>
    </row>
    <row r="855">
      <c r="A855" s="7"/>
      <c r="B855" s="7"/>
      <c r="C855" s="7"/>
      <c r="D855" s="7"/>
      <c r="E855" s="7"/>
      <c r="F855" s="7"/>
      <c r="G855" s="7"/>
      <c r="H855" s="7"/>
      <c r="I855" s="7"/>
      <c r="J855" s="7"/>
      <c r="K855" s="7"/>
    </row>
    <row r="856">
      <c r="A856" s="7"/>
      <c r="B856" s="7"/>
      <c r="C856" s="7"/>
      <c r="D856" s="7"/>
      <c r="E856" s="7"/>
      <c r="F856" s="7"/>
      <c r="G856" s="7"/>
      <c r="H856" s="7"/>
      <c r="I856" s="7"/>
      <c r="J856" s="7"/>
      <c r="K856" s="7"/>
    </row>
    <row r="857">
      <c r="A857" s="7"/>
      <c r="B857" s="7"/>
      <c r="C857" s="7"/>
      <c r="D857" s="7"/>
      <c r="E857" s="7"/>
      <c r="F857" s="7"/>
      <c r="G857" s="7"/>
      <c r="H857" s="7"/>
      <c r="I857" s="7"/>
      <c r="J857" s="7"/>
      <c r="K857" s="7"/>
    </row>
    <row r="858">
      <c r="A858" s="7"/>
      <c r="B858" s="7"/>
      <c r="C858" s="7"/>
      <c r="D858" s="7"/>
      <c r="E858" s="7"/>
      <c r="F858" s="7"/>
      <c r="G858" s="7"/>
      <c r="H858" s="7"/>
      <c r="I858" s="7"/>
      <c r="J858" s="7"/>
      <c r="K858" s="7"/>
    </row>
    <row r="859">
      <c r="A859" s="7"/>
      <c r="B859" s="7"/>
      <c r="C859" s="7"/>
      <c r="D859" s="7"/>
      <c r="E859" s="7"/>
      <c r="F859" s="7"/>
      <c r="G859" s="7"/>
      <c r="H859" s="7"/>
      <c r="I859" s="7"/>
      <c r="J859" s="7"/>
      <c r="K859" s="7"/>
    </row>
    <row r="860">
      <c r="A860" s="7"/>
      <c r="B860" s="7"/>
      <c r="C860" s="7"/>
      <c r="D860" s="7"/>
      <c r="E860" s="7"/>
      <c r="F860" s="7"/>
      <c r="G860" s="7"/>
      <c r="H860" s="7"/>
      <c r="I860" s="7"/>
      <c r="J860" s="7"/>
      <c r="K860" s="7"/>
    </row>
    <row r="861">
      <c r="A861" s="7"/>
      <c r="B861" s="7"/>
      <c r="C861" s="7"/>
      <c r="D861" s="7"/>
      <c r="E861" s="7"/>
      <c r="F861" s="7"/>
      <c r="G861" s="7"/>
      <c r="H861" s="7"/>
      <c r="I861" s="7"/>
      <c r="J861" s="7"/>
      <c r="K861" s="7"/>
    </row>
    <row r="862">
      <c r="A862" s="7"/>
      <c r="B862" s="7"/>
      <c r="C862" s="7"/>
      <c r="D862" s="7"/>
      <c r="E862" s="7"/>
      <c r="F862" s="7"/>
      <c r="G862" s="7"/>
      <c r="H862" s="7"/>
      <c r="I862" s="7"/>
      <c r="J862" s="7"/>
      <c r="K862" s="7"/>
    </row>
    <row r="863">
      <c r="A863" s="7"/>
      <c r="B863" s="7"/>
      <c r="C863" s="7"/>
      <c r="D863" s="7"/>
      <c r="E863" s="7"/>
      <c r="F863" s="7"/>
      <c r="G863" s="7"/>
      <c r="H863" s="7"/>
      <c r="I863" s="7"/>
      <c r="J863" s="7"/>
      <c r="K863" s="7"/>
    </row>
    <row r="864">
      <c r="A864" s="7"/>
      <c r="B864" s="7"/>
      <c r="C864" s="7"/>
      <c r="D864" s="7"/>
      <c r="E864" s="7"/>
      <c r="F864" s="7"/>
      <c r="G864" s="7"/>
      <c r="H864" s="7"/>
      <c r="I864" s="7"/>
      <c r="J864" s="7"/>
      <c r="K864" s="7"/>
    </row>
    <row r="865">
      <c r="A865" s="7"/>
      <c r="B865" s="7"/>
      <c r="C865" s="7"/>
      <c r="D865" s="7"/>
      <c r="E865" s="7"/>
      <c r="F865" s="7"/>
      <c r="G865" s="7"/>
      <c r="H865" s="7"/>
      <c r="I865" s="7"/>
      <c r="J865" s="7"/>
      <c r="K865" s="7"/>
    </row>
    <row r="866">
      <c r="A866" s="7"/>
      <c r="B866" s="7"/>
      <c r="C866" s="7"/>
      <c r="D866" s="7"/>
      <c r="E866" s="7"/>
      <c r="F866" s="7"/>
      <c r="G866" s="7"/>
      <c r="H866" s="7"/>
      <c r="I866" s="7"/>
      <c r="J866" s="7"/>
      <c r="K866" s="7"/>
    </row>
    <row r="867">
      <c r="A867" s="7"/>
      <c r="B867" s="7"/>
      <c r="C867" s="7"/>
      <c r="D867" s="7"/>
      <c r="E867" s="7"/>
      <c r="F867" s="7"/>
      <c r="G867" s="7"/>
      <c r="H867" s="7"/>
      <c r="I867" s="7"/>
      <c r="J867" s="7"/>
      <c r="K867" s="7"/>
    </row>
    <row r="868">
      <c r="A868" s="7"/>
      <c r="B868" s="7"/>
      <c r="C868" s="7"/>
      <c r="D868" s="7"/>
      <c r="E868" s="7"/>
      <c r="F868" s="7"/>
      <c r="G868" s="7"/>
      <c r="H868" s="7"/>
      <c r="I868" s="7"/>
      <c r="J868" s="7"/>
      <c r="K868" s="7"/>
    </row>
    <row r="869">
      <c r="A869" s="7"/>
      <c r="B869" s="7"/>
      <c r="C869" s="7"/>
      <c r="D869" s="7"/>
      <c r="E869" s="7"/>
      <c r="F869" s="7"/>
      <c r="G869" s="7"/>
      <c r="H869" s="7"/>
      <c r="I869" s="7"/>
      <c r="J869" s="7"/>
      <c r="K869" s="7"/>
    </row>
    <row r="870">
      <c r="A870" s="7"/>
      <c r="B870" s="7"/>
      <c r="C870" s="7"/>
      <c r="D870" s="7"/>
      <c r="E870" s="7"/>
      <c r="F870" s="7"/>
      <c r="G870" s="7"/>
      <c r="H870" s="7"/>
      <c r="I870" s="7"/>
      <c r="J870" s="7"/>
      <c r="K870" s="7"/>
    </row>
    <row r="871">
      <c r="A871" s="7"/>
      <c r="B871" s="7"/>
      <c r="C871" s="7"/>
      <c r="D871" s="7"/>
      <c r="E871" s="7"/>
      <c r="F871" s="7"/>
      <c r="G871" s="7"/>
      <c r="H871" s="7"/>
      <c r="I871" s="7"/>
      <c r="J871" s="7"/>
      <c r="K871" s="7"/>
    </row>
    <row r="872">
      <c r="A872" s="7"/>
      <c r="B872" s="7"/>
      <c r="C872" s="7"/>
      <c r="D872" s="7"/>
      <c r="E872" s="7"/>
      <c r="F872" s="7"/>
      <c r="G872" s="7"/>
      <c r="H872" s="7"/>
      <c r="I872" s="7"/>
      <c r="J872" s="7"/>
      <c r="K872" s="7"/>
    </row>
    <row r="873">
      <c r="A873" s="7"/>
      <c r="B873" s="7"/>
      <c r="C873" s="7"/>
      <c r="D873" s="7"/>
      <c r="E873" s="7"/>
      <c r="F873" s="7"/>
      <c r="G873" s="7"/>
      <c r="H873" s="7"/>
      <c r="I873" s="7"/>
      <c r="J873" s="7"/>
      <c r="K873" s="7"/>
    </row>
    <row r="874">
      <c r="A874" s="7"/>
      <c r="B874" s="7"/>
      <c r="C874" s="7"/>
      <c r="D874" s="7"/>
      <c r="E874" s="7"/>
      <c r="F874" s="7"/>
      <c r="G874" s="7"/>
      <c r="H874" s="7"/>
      <c r="I874" s="7"/>
      <c r="J874" s="7"/>
      <c r="K874" s="7"/>
    </row>
    <row r="875">
      <c r="A875" s="7"/>
      <c r="B875" s="7"/>
      <c r="C875" s="7"/>
      <c r="D875" s="7"/>
      <c r="E875" s="7"/>
      <c r="F875" s="7"/>
      <c r="G875" s="7"/>
      <c r="H875" s="7"/>
      <c r="I875" s="7"/>
      <c r="J875" s="7"/>
      <c r="K875" s="7"/>
    </row>
    <row r="876">
      <c r="A876" s="7"/>
      <c r="B876" s="7"/>
      <c r="C876" s="7"/>
      <c r="D876" s="7"/>
      <c r="E876" s="7"/>
      <c r="F876" s="7"/>
      <c r="G876" s="7"/>
      <c r="H876" s="7"/>
      <c r="I876" s="7"/>
      <c r="J876" s="7"/>
      <c r="K876" s="7"/>
    </row>
    <row r="877">
      <c r="A877" s="7"/>
      <c r="B877" s="7"/>
      <c r="C877" s="7"/>
      <c r="D877" s="7"/>
      <c r="E877" s="7"/>
      <c r="F877" s="7"/>
      <c r="G877" s="7"/>
      <c r="H877" s="7"/>
      <c r="I877" s="7"/>
      <c r="J877" s="7"/>
      <c r="K877" s="7"/>
    </row>
    <row r="878">
      <c r="A878" s="7"/>
      <c r="B878" s="7"/>
      <c r="C878" s="7"/>
      <c r="D878" s="7"/>
      <c r="E878" s="7"/>
      <c r="F878" s="7"/>
      <c r="G878" s="7"/>
      <c r="H878" s="7"/>
      <c r="I878" s="7"/>
      <c r="J878" s="7"/>
      <c r="K878" s="7"/>
    </row>
    <row r="879">
      <c r="A879" s="7"/>
      <c r="B879" s="7"/>
      <c r="C879" s="7"/>
      <c r="D879" s="7"/>
      <c r="E879" s="7"/>
      <c r="F879" s="7"/>
      <c r="G879" s="7"/>
      <c r="H879" s="7"/>
      <c r="I879" s="7"/>
      <c r="J879" s="7"/>
      <c r="K879" s="7"/>
    </row>
    <row r="880">
      <c r="A880" s="7"/>
      <c r="B880" s="7"/>
      <c r="C880" s="7"/>
      <c r="D880" s="7"/>
      <c r="E880" s="7"/>
      <c r="F880" s="7"/>
      <c r="G880" s="7"/>
      <c r="H880" s="7"/>
      <c r="I880" s="7"/>
      <c r="J880" s="7"/>
      <c r="K880" s="7"/>
    </row>
    <row r="881">
      <c r="A881" s="7"/>
      <c r="B881" s="7"/>
      <c r="C881" s="7"/>
      <c r="D881" s="7"/>
      <c r="E881" s="7"/>
      <c r="F881" s="7"/>
      <c r="G881" s="7"/>
      <c r="H881" s="7"/>
      <c r="I881" s="7"/>
      <c r="J881" s="7"/>
      <c r="K881" s="7"/>
    </row>
    <row r="882">
      <c r="A882" s="7"/>
      <c r="B882" s="7"/>
      <c r="C882" s="7"/>
      <c r="D882" s="7"/>
      <c r="E882" s="7"/>
      <c r="F882" s="7"/>
      <c r="G882" s="7"/>
      <c r="H882" s="7"/>
      <c r="I882" s="7"/>
      <c r="J882" s="7"/>
      <c r="K882" s="7"/>
    </row>
    <row r="883">
      <c r="A883" s="7"/>
      <c r="B883" s="7"/>
      <c r="C883" s="7"/>
      <c r="D883" s="7"/>
      <c r="E883" s="7"/>
      <c r="F883" s="7"/>
      <c r="G883" s="7"/>
      <c r="H883" s="7"/>
      <c r="I883" s="7"/>
      <c r="J883" s="7"/>
      <c r="K883" s="7"/>
    </row>
    <row r="884">
      <c r="A884" s="7"/>
      <c r="B884" s="7"/>
      <c r="C884" s="7"/>
      <c r="D884" s="7"/>
      <c r="E884" s="7"/>
      <c r="F884" s="7"/>
      <c r="G884" s="7"/>
      <c r="H884" s="7"/>
      <c r="I884" s="7"/>
      <c r="J884" s="7"/>
      <c r="K884" s="7"/>
    </row>
    <row r="885">
      <c r="A885" s="7"/>
      <c r="B885" s="7"/>
      <c r="C885" s="7"/>
      <c r="D885" s="7"/>
      <c r="E885" s="7"/>
      <c r="F885" s="7"/>
      <c r="G885" s="7"/>
      <c r="H885" s="7"/>
      <c r="I885" s="7"/>
      <c r="J885" s="7"/>
      <c r="K885" s="7"/>
    </row>
    <row r="886">
      <c r="A886" s="7"/>
      <c r="B886" s="7"/>
      <c r="C886" s="7"/>
      <c r="D886" s="7"/>
      <c r="E886" s="7"/>
      <c r="F886" s="7"/>
      <c r="G886" s="7"/>
      <c r="H886" s="7"/>
      <c r="I886" s="7"/>
      <c r="J886" s="7"/>
      <c r="K886" s="7"/>
    </row>
    <row r="887">
      <c r="A887" s="7"/>
      <c r="B887" s="7"/>
      <c r="C887" s="7"/>
      <c r="D887" s="7"/>
      <c r="E887" s="7"/>
      <c r="F887" s="7"/>
      <c r="G887" s="7"/>
      <c r="H887" s="7"/>
      <c r="I887" s="7"/>
      <c r="J887" s="7"/>
      <c r="K887" s="7"/>
    </row>
    <row r="888">
      <c r="A888" s="7"/>
      <c r="B888" s="7"/>
      <c r="C888" s="7"/>
      <c r="D888" s="7"/>
      <c r="E888" s="7"/>
      <c r="F888" s="7"/>
      <c r="G888" s="7"/>
      <c r="H888" s="7"/>
      <c r="I888" s="7"/>
      <c r="J888" s="7"/>
      <c r="K888" s="7"/>
    </row>
    <row r="889">
      <c r="A889" s="7"/>
      <c r="B889" s="7"/>
      <c r="C889" s="7"/>
      <c r="D889" s="7"/>
      <c r="E889" s="7"/>
      <c r="F889" s="7"/>
      <c r="G889" s="7"/>
      <c r="H889" s="7"/>
      <c r="I889" s="7"/>
      <c r="J889" s="7"/>
      <c r="K889" s="7"/>
    </row>
    <row r="890">
      <c r="A890" s="7"/>
      <c r="B890" s="7"/>
      <c r="C890" s="7"/>
      <c r="D890" s="7"/>
      <c r="E890" s="7"/>
      <c r="F890" s="7"/>
      <c r="G890" s="7"/>
      <c r="H890" s="7"/>
      <c r="I890" s="7"/>
      <c r="J890" s="7"/>
      <c r="K890" s="7"/>
    </row>
    <row r="891">
      <c r="A891" s="7"/>
      <c r="B891" s="7"/>
      <c r="C891" s="7"/>
      <c r="D891" s="7"/>
      <c r="E891" s="7"/>
      <c r="F891" s="7"/>
      <c r="G891" s="7"/>
      <c r="H891" s="7"/>
      <c r="I891" s="7"/>
      <c r="J891" s="7"/>
      <c r="K891" s="7"/>
    </row>
    <row r="892">
      <c r="A892" s="7"/>
      <c r="B892" s="7"/>
      <c r="C892" s="7"/>
      <c r="D892" s="7"/>
      <c r="E892" s="7"/>
      <c r="F892" s="7"/>
      <c r="G892" s="7"/>
      <c r="H892" s="7"/>
      <c r="I892" s="7"/>
      <c r="J892" s="7"/>
      <c r="K892" s="7"/>
    </row>
    <row r="893">
      <c r="A893" s="7"/>
      <c r="B893" s="7"/>
      <c r="C893" s="7"/>
      <c r="D893" s="7"/>
      <c r="E893" s="7"/>
      <c r="F893" s="7"/>
      <c r="G893" s="7"/>
      <c r="H893" s="7"/>
      <c r="I893" s="7"/>
      <c r="J893" s="7"/>
      <c r="K893" s="7"/>
    </row>
    <row r="894">
      <c r="A894" s="7"/>
      <c r="B894" s="7"/>
      <c r="C894" s="7"/>
      <c r="D894" s="7"/>
      <c r="E894" s="7"/>
      <c r="F894" s="7"/>
      <c r="G894" s="7"/>
      <c r="H894" s="7"/>
      <c r="I894" s="7"/>
      <c r="J894" s="7"/>
      <c r="K894" s="7"/>
    </row>
    <row r="895">
      <c r="A895" s="7"/>
      <c r="B895" s="7"/>
      <c r="C895" s="7"/>
      <c r="D895" s="7"/>
      <c r="E895" s="7"/>
      <c r="F895" s="7"/>
      <c r="G895" s="7"/>
      <c r="H895" s="7"/>
      <c r="I895" s="7"/>
      <c r="J895" s="7"/>
      <c r="K895" s="7"/>
    </row>
    <row r="896">
      <c r="A896" s="7"/>
      <c r="B896" s="7"/>
      <c r="C896" s="7"/>
      <c r="D896" s="7"/>
      <c r="E896" s="7"/>
      <c r="F896" s="7"/>
      <c r="G896" s="7"/>
      <c r="H896" s="7"/>
      <c r="I896" s="7"/>
      <c r="J896" s="7"/>
      <c r="K896" s="7"/>
    </row>
    <row r="897">
      <c r="A897" s="7"/>
      <c r="B897" s="7"/>
      <c r="C897" s="7"/>
      <c r="D897" s="7"/>
      <c r="E897" s="7"/>
      <c r="F897" s="7"/>
      <c r="G897" s="7"/>
      <c r="H897" s="7"/>
      <c r="I897" s="7"/>
      <c r="J897" s="7"/>
      <c r="K897" s="7"/>
    </row>
    <row r="898">
      <c r="A898" s="7"/>
      <c r="B898" s="7"/>
      <c r="C898" s="7"/>
      <c r="D898" s="7"/>
      <c r="E898" s="7"/>
      <c r="F898" s="7"/>
      <c r="G898" s="7"/>
      <c r="H898" s="7"/>
      <c r="I898" s="7"/>
      <c r="J898" s="7"/>
      <c r="K898" s="7"/>
    </row>
    <row r="899">
      <c r="A899" s="7"/>
      <c r="B899" s="7"/>
      <c r="C899" s="7"/>
      <c r="D899" s="7"/>
      <c r="E899" s="7"/>
      <c r="F899" s="7"/>
      <c r="G899" s="7"/>
      <c r="H899" s="7"/>
      <c r="I899" s="7"/>
      <c r="J899" s="7"/>
      <c r="K899" s="7"/>
    </row>
    <row r="900">
      <c r="A900" s="7"/>
      <c r="B900" s="7"/>
      <c r="C900" s="7"/>
      <c r="D900" s="7"/>
      <c r="E900" s="7"/>
      <c r="F900" s="7"/>
      <c r="G900" s="7"/>
      <c r="H900" s="7"/>
      <c r="I900" s="7"/>
      <c r="J900" s="7"/>
      <c r="K900" s="7"/>
    </row>
    <row r="901">
      <c r="A901" s="7"/>
      <c r="B901" s="7"/>
      <c r="C901" s="7"/>
      <c r="D901" s="7"/>
      <c r="E901" s="7"/>
      <c r="F901" s="7"/>
      <c r="G901" s="7"/>
      <c r="H901" s="7"/>
      <c r="I901" s="7"/>
      <c r="J901" s="7"/>
      <c r="K901" s="7"/>
    </row>
    <row r="902">
      <c r="A902" s="7"/>
      <c r="B902" s="7"/>
      <c r="C902" s="7"/>
      <c r="D902" s="7"/>
      <c r="E902" s="7"/>
      <c r="F902" s="7"/>
      <c r="G902" s="7"/>
      <c r="H902" s="7"/>
      <c r="I902" s="7"/>
      <c r="J902" s="7"/>
      <c r="K902" s="7"/>
    </row>
    <row r="903">
      <c r="A903" s="7"/>
      <c r="B903" s="7"/>
      <c r="C903" s="7"/>
      <c r="D903" s="7"/>
      <c r="E903" s="7"/>
      <c r="F903" s="7"/>
      <c r="G903" s="7"/>
      <c r="H903" s="7"/>
      <c r="I903" s="7"/>
      <c r="J903" s="7"/>
      <c r="K903" s="7"/>
    </row>
    <row r="904">
      <c r="A904" s="7"/>
      <c r="B904" s="7"/>
      <c r="C904" s="7"/>
      <c r="D904" s="7"/>
      <c r="E904" s="7"/>
      <c r="F904" s="7"/>
      <c r="G904" s="7"/>
      <c r="H904" s="7"/>
      <c r="I904" s="7"/>
      <c r="J904" s="7"/>
      <c r="K904" s="7"/>
    </row>
    <row r="905">
      <c r="A905" s="7"/>
      <c r="B905" s="7"/>
      <c r="C905" s="7"/>
      <c r="D905" s="7"/>
      <c r="E905" s="7"/>
      <c r="F905" s="7"/>
      <c r="G905" s="7"/>
      <c r="H905" s="7"/>
      <c r="I905" s="7"/>
      <c r="J905" s="7"/>
      <c r="K905" s="7"/>
    </row>
    <row r="906">
      <c r="A906" s="7"/>
      <c r="B906" s="7"/>
      <c r="C906" s="7"/>
      <c r="D906" s="7"/>
      <c r="E906" s="7"/>
      <c r="F906" s="7"/>
      <c r="G906" s="7"/>
      <c r="H906" s="7"/>
      <c r="I906" s="7"/>
      <c r="J906" s="7"/>
      <c r="K906" s="7"/>
    </row>
    <row r="907">
      <c r="A907" s="7"/>
      <c r="B907" s="7"/>
      <c r="C907" s="7"/>
      <c r="D907" s="7"/>
      <c r="E907" s="7"/>
      <c r="F907" s="7"/>
      <c r="G907" s="7"/>
      <c r="H907" s="7"/>
      <c r="I907" s="7"/>
      <c r="J907" s="7"/>
      <c r="K907" s="7"/>
    </row>
    <row r="908">
      <c r="A908" s="7"/>
      <c r="B908" s="7"/>
      <c r="C908" s="7"/>
      <c r="D908" s="7"/>
      <c r="E908" s="7"/>
      <c r="F908" s="7"/>
      <c r="G908" s="7"/>
      <c r="H908" s="7"/>
      <c r="I908" s="7"/>
      <c r="J908" s="7"/>
      <c r="K908" s="7"/>
    </row>
    <row r="909">
      <c r="A909" s="7"/>
      <c r="B909" s="7"/>
      <c r="C909" s="7"/>
      <c r="D909" s="7"/>
      <c r="E909" s="7"/>
      <c r="F909" s="7"/>
      <c r="G909" s="7"/>
      <c r="H909" s="7"/>
      <c r="I909" s="7"/>
      <c r="J909" s="7"/>
      <c r="K909" s="7"/>
    </row>
    <row r="910">
      <c r="A910" s="7"/>
      <c r="B910" s="7"/>
      <c r="C910" s="7"/>
      <c r="D910" s="7"/>
      <c r="E910" s="7"/>
      <c r="F910" s="7"/>
      <c r="G910" s="7"/>
      <c r="H910" s="7"/>
      <c r="I910" s="7"/>
      <c r="J910" s="7"/>
      <c r="K910" s="7"/>
    </row>
    <row r="911">
      <c r="A911" s="7"/>
      <c r="B911" s="7"/>
      <c r="C911" s="7"/>
      <c r="D911" s="7"/>
      <c r="E911" s="7"/>
      <c r="F911" s="7"/>
      <c r="G911" s="7"/>
      <c r="H911" s="7"/>
      <c r="I911" s="7"/>
      <c r="J911" s="7"/>
      <c r="K911" s="7"/>
    </row>
    <row r="912">
      <c r="A912" s="7"/>
      <c r="B912" s="7"/>
      <c r="C912" s="7"/>
      <c r="D912" s="7"/>
      <c r="E912" s="7"/>
      <c r="F912" s="7"/>
      <c r="G912" s="7"/>
      <c r="H912" s="7"/>
      <c r="I912" s="7"/>
      <c r="J912" s="7"/>
      <c r="K912" s="7"/>
    </row>
    <row r="913">
      <c r="A913" s="7"/>
      <c r="B913" s="7"/>
      <c r="C913" s="7"/>
      <c r="D913" s="7"/>
      <c r="E913" s="7"/>
      <c r="F913" s="7"/>
      <c r="G913" s="7"/>
      <c r="H913" s="7"/>
      <c r="I913" s="7"/>
      <c r="J913" s="7"/>
      <c r="K913" s="7"/>
    </row>
    <row r="914">
      <c r="A914" s="7"/>
      <c r="B914" s="7"/>
      <c r="C914" s="7"/>
      <c r="D914" s="7"/>
      <c r="E914" s="7"/>
      <c r="F914" s="7"/>
      <c r="G914" s="7"/>
      <c r="H914" s="7"/>
      <c r="I914" s="7"/>
      <c r="J914" s="7"/>
      <c r="K914" s="7"/>
    </row>
    <row r="915">
      <c r="A915" s="7"/>
      <c r="B915" s="7"/>
      <c r="C915" s="7"/>
      <c r="D915" s="7"/>
      <c r="E915" s="7"/>
      <c r="F915" s="7"/>
      <c r="G915" s="7"/>
      <c r="H915" s="7"/>
      <c r="I915" s="7"/>
      <c r="J915" s="7"/>
      <c r="K915" s="7"/>
    </row>
    <row r="916">
      <c r="A916" s="7"/>
      <c r="B916" s="7"/>
      <c r="C916" s="7"/>
      <c r="D916" s="7"/>
      <c r="E916" s="7"/>
      <c r="F916" s="7"/>
      <c r="G916" s="7"/>
      <c r="H916" s="7"/>
      <c r="I916" s="7"/>
      <c r="J916" s="7"/>
      <c r="K916" s="7"/>
    </row>
    <row r="917">
      <c r="A917" s="7"/>
      <c r="B917" s="7"/>
      <c r="C917" s="7"/>
      <c r="D917" s="7"/>
      <c r="E917" s="7"/>
      <c r="F917" s="7"/>
      <c r="G917" s="7"/>
      <c r="H917" s="7"/>
      <c r="I917" s="7"/>
      <c r="J917" s="7"/>
      <c r="K917" s="7"/>
    </row>
    <row r="918">
      <c r="A918" s="7"/>
      <c r="B918" s="7"/>
      <c r="C918" s="7"/>
      <c r="D918" s="7"/>
      <c r="E918" s="7"/>
      <c r="F918" s="7"/>
      <c r="G918" s="7"/>
      <c r="H918" s="7"/>
      <c r="I918" s="7"/>
      <c r="J918" s="7"/>
      <c r="K918" s="7"/>
    </row>
    <row r="919">
      <c r="A919" s="7"/>
      <c r="B919" s="7"/>
      <c r="C919" s="7"/>
      <c r="D919" s="7"/>
      <c r="E919" s="7"/>
      <c r="F919" s="7"/>
      <c r="G919" s="7"/>
      <c r="H919" s="7"/>
      <c r="I919" s="7"/>
      <c r="J919" s="7"/>
      <c r="K919" s="7"/>
    </row>
    <row r="920">
      <c r="A920" s="7"/>
      <c r="B920" s="7"/>
      <c r="C920" s="7"/>
      <c r="D920" s="7"/>
      <c r="E920" s="7"/>
      <c r="F920" s="7"/>
      <c r="G920" s="7"/>
      <c r="H920" s="7"/>
      <c r="I920" s="7"/>
      <c r="J920" s="7"/>
      <c r="K920" s="7"/>
    </row>
    <row r="921">
      <c r="A921" s="7"/>
      <c r="B921" s="7"/>
      <c r="C921" s="7"/>
      <c r="D921" s="7"/>
      <c r="E921" s="7"/>
      <c r="F921" s="7"/>
      <c r="G921" s="7"/>
      <c r="H921" s="7"/>
      <c r="I921" s="7"/>
      <c r="J921" s="7"/>
      <c r="K921" s="7"/>
    </row>
    <row r="922">
      <c r="A922" s="7"/>
      <c r="B922" s="7"/>
      <c r="C922" s="7"/>
      <c r="D922" s="7"/>
      <c r="E922" s="7"/>
      <c r="F922" s="7"/>
      <c r="G922" s="7"/>
      <c r="H922" s="7"/>
      <c r="I922" s="7"/>
      <c r="J922" s="7"/>
      <c r="K922" s="7"/>
    </row>
    <row r="923">
      <c r="A923" s="7"/>
      <c r="B923" s="7"/>
      <c r="C923" s="7"/>
      <c r="D923" s="7"/>
      <c r="E923" s="7"/>
      <c r="F923" s="7"/>
      <c r="G923" s="7"/>
      <c r="H923" s="7"/>
      <c r="I923" s="7"/>
      <c r="J923" s="7"/>
      <c r="K923" s="7"/>
    </row>
    <row r="924">
      <c r="A924" s="7"/>
      <c r="B924" s="7"/>
      <c r="C924" s="7"/>
      <c r="D924" s="7"/>
      <c r="E924" s="7"/>
      <c r="F924" s="7"/>
      <c r="G924" s="7"/>
      <c r="H924" s="7"/>
      <c r="I924" s="7"/>
      <c r="J924" s="7"/>
      <c r="K924" s="7"/>
    </row>
    <row r="925">
      <c r="A925" s="7"/>
      <c r="B925" s="7"/>
      <c r="C925" s="7"/>
      <c r="D925" s="7"/>
      <c r="E925" s="7"/>
      <c r="F925" s="7"/>
      <c r="G925" s="7"/>
      <c r="H925" s="7"/>
      <c r="I925" s="7"/>
      <c r="J925" s="7"/>
      <c r="K925" s="7"/>
    </row>
    <row r="926">
      <c r="A926" s="7"/>
      <c r="B926" s="7"/>
      <c r="C926" s="7"/>
      <c r="D926" s="7"/>
      <c r="E926" s="7"/>
      <c r="F926" s="7"/>
      <c r="G926" s="7"/>
      <c r="H926" s="7"/>
      <c r="I926" s="7"/>
      <c r="J926" s="7"/>
      <c r="K926" s="7"/>
    </row>
    <row r="927">
      <c r="A927" s="7"/>
      <c r="B927" s="7"/>
      <c r="C927" s="7"/>
      <c r="D927" s="7"/>
      <c r="E927" s="7"/>
      <c r="F927" s="7"/>
      <c r="G927" s="7"/>
      <c r="H927" s="7"/>
      <c r="I927" s="7"/>
      <c r="J927" s="7"/>
      <c r="K927" s="7"/>
    </row>
    <row r="928">
      <c r="A928" s="7"/>
      <c r="B928" s="7"/>
      <c r="C928" s="7"/>
      <c r="D928" s="7"/>
      <c r="E928" s="7"/>
      <c r="F928" s="7"/>
      <c r="G928" s="7"/>
      <c r="H928" s="7"/>
      <c r="I928" s="7"/>
      <c r="J928" s="7"/>
      <c r="K928" s="7"/>
    </row>
    <row r="929">
      <c r="A929" s="7"/>
      <c r="B929" s="7"/>
      <c r="C929" s="7"/>
      <c r="D929" s="7"/>
      <c r="E929" s="7"/>
      <c r="F929" s="7"/>
      <c r="G929" s="7"/>
      <c r="H929" s="7"/>
      <c r="I929" s="7"/>
      <c r="J929" s="7"/>
      <c r="K929" s="7"/>
    </row>
    <row r="930">
      <c r="A930" s="7"/>
      <c r="B930" s="7"/>
      <c r="C930" s="7"/>
      <c r="D930" s="7"/>
      <c r="E930" s="7"/>
      <c r="F930" s="7"/>
      <c r="G930" s="7"/>
      <c r="H930" s="7"/>
      <c r="I930" s="7"/>
      <c r="J930" s="7"/>
      <c r="K930" s="7"/>
    </row>
    <row r="931">
      <c r="A931" s="7"/>
      <c r="B931" s="7"/>
      <c r="C931" s="7"/>
      <c r="D931" s="7"/>
      <c r="E931" s="7"/>
      <c r="F931" s="7"/>
      <c r="G931" s="7"/>
      <c r="H931" s="7"/>
      <c r="I931" s="7"/>
      <c r="J931" s="7"/>
      <c r="K931" s="7"/>
    </row>
    <row r="932">
      <c r="A932" s="7"/>
      <c r="B932" s="7"/>
      <c r="C932" s="7"/>
      <c r="D932" s="7"/>
      <c r="E932" s="7"/>
      <c r="F932" s="7"/>
      <c r="G932" s="7"/>
      <c r="H932" s="7"/>
      <c r="I932" s="7"/>
      <c r="J932" s="7"/>
      <c r="K932" s="7"/>
    </row>
    <row r="933">
      <c r="A933" s="7"/>
      <c r="B933" s="7"/>
      <c r="C933" s="7"/>
      <c r="D933" s="7"/>
      <c r="E933" s="7"/>
      <c r="F933" s="7"/>
      <c r="G933" s="7"/>
      <c r="H933" s="7"/>
      <c r="I933" s="7"/>
      <c r="J933" s="7"/>
      <c r="K933" s="7"/>
    </row>
    <row r="934">
      <c r="A934" s="7"/>
      <c r="B934" s="7"/>
      <c r="C934" s="7"/>
      <c r="D934" s="7"/>
      <c r="E934" s="7"/>
      <c r="F934" s="7"/>
      <c r="G934" s="7"/>
      <c r="H934" s="7"/>
      <c r="I934" s="7"/>
      <c r="J934" s="7"/>
      <c r="K934" s="7"/>
    </row>
    <row r="935">
      <c r="A935" s="7"/>
      <c r="B935" s="7"/>
      <c r="C935" s="7"/>
      <c r="D935" s="7"/>
      <c r="E935" s="7"/>
      <c r="F935" s="7"/>
      <c r="G935" s="7"/>
      <c r="H935" s="7"/>
      <c r="I935" s="7"/>
      <c r="J935" s="7"/>
      <c r="K935" s="7"/>
    </row>
    <row r="936">
      <c r="A936" s="7"/>
      <c r="B936" s="7"/>
      <c r="C936" s="7"/>
      <c r="D936" s="7"/>
      <c r="E936" s="7"/>
      <c r="F936" s="7"/>
      <c r="G936" s="7"/>
      <c r="H936" s="7"/>
      <c r="I936" s="7"/>
      <c r="J936" s="7"/>
      <c r="K936" s="7"/>
    </row>
    <row r="937">
      <c r="A937" s="7"/>
      <c r="B937" s="7"/>
      <c r="C937" s="7"/>
      <c r="D937" s="7"/>
      <c r="E937" s="7"/>
      <c r="F937" s="7"/>
      <c r="G937" s="7"/>
      <c r="H937" s="7"/>
      <c r="I937" s="7"/>
      <c r="J937" s="7"/>
      <c r="K937" s="7"/>
    </row>
    <row r="938">
      <c r="A938" s="7"/>
      <c r="B938" s="7"/>
      <c r="C938" s="7"/>
      <c r="D938" s="7"/>
      <c r="E938" s="7"/>
      <c r="F938" s="7"/>
      <c r="G938" s="7"/>
      <c r="H938" s="7"/>
      <c r="I938" s="7"/>
      <c r="J938" s="7"/>
      <c r="K938" s="7"/>
    </row>
    <row r="939">
      <c r="A939" s="7"/>
      <c r="B939" s="7"/>
      <c r="C939" s="7"/>
      <c r="D939" s="7"/>
      <c r="E939" s="7"/>
      <c r="F939" s="7"/>
      <c r="G939" s="7"/>
      <c r="H939" s="7"/>
      <c r="I939" s="7"/>
      <c r="J939" s="7"/>
      <c r="K939" s="7"/>
    </row>
    <row r="940">
      <c r="A940" s="7"/>
      <c r="B940" s="7"/>
      <c r="C940" s="7"/>
      <c r="D940" s="7"/>
      <c r="E940" s="7"/>
      <c r="F940" s="7"/>
      <c r="G940" s="7"/>
      <c r="H940" s="7"/>
      <c r="I940" s="7"/>
      <c r="J940" s="7"/>
      <c r="K940" s="7"/>
    </row>
    <row r="941">
      <c r="A941" s="7"/>
      <c r="B941" s="7"/>
      <c r="C941" s="7"/>
      <c r="D941" s="7"/>
      <c r="E941" s="7"/>
      <c r="F941" s="7"/>
      <c r="G941" s="7"/>
      <c r="H941" s="7"/>
      <c r="I941" s="7"/>
      <c r="J941" s="7"/>
      <c r="K941" s="7"/>
    </row>
    <row r="942">
      <c r="A942" s="7"/>
      <c r="B942" s="7"/>
      <c r="C942" s="7"/>
      <c r="D942" s="7"/>
      <c r="E942" s="7"/>
      <c r="F942" s="7"/>
      <c r="G942" s="7"/>
      <c r="H942" s="7"/>
      <c r="I942" s="7"/>
      <c r="J942" s="7"/>
      <c r="K942" s="7"/>
    </row>
    <row r="943">
      <c r="A943" s="7"/>
      <c r="B943" s="7"/>
      <c r="C943" s="7"/>
      <c r="D943" s="7"/>
      <c r="E943" s="7"/>
      <c r="F943" s="7"/>
      <c r="G943" s="7"/>
      <c r="H943" s="7"/>
      <c r="I943" s="7"/>
      <c r="J943" s="7"/>
      <c r="K943" s="7"/>
    </row>
    <row r="944">
      <c r="A944" s="7"/>
      <c r="B944" s="7"/>
      <c r="C944" s="7"/>
      <c r="D944" s="7"/>
      <c r="E944" s="7"/>
      <c r="F944" s="7"/>
      <c r="G944" s="7"/>
      <c r="H944" s="7"/>
      <c r="I944" s="7"/>
      <c r="J944" s="7"/>
      <c r="K944" s="7"/>
    </row>
    <row r="945">
      <c r="A945" s="7"/>
      <c r="B945" s="7"/>
      <c r="C945" s="7"/>
      <c r="D945" s="7"/>
      <c r="E945" s="7"/>
      <c r="F945" s="7"/>
      <c r="G945" s="7"/>
      <c r="H945" s="7"/>
      <c r="I945" s="7"/>
      <c r="J945" s="7"/>
      <c r="K945" s="7"/>
    </row>
    <row r="946">
      <c r="A946" s="7"/>
      <c r="B946" s="7"/>
      <c r="C946" s="7"/>
      <c r="D946" s="7"/>
      <c r="E946" s="7"/>
      <c r="F946" s="7"/>
      <c r="G946" s="7"/>
      <c r="H946" s="7"/>
      <c r="I946" s="7"/>
      <c r="J946" s="7"/>
      <c r="K946" s="7"/>
    </row>
    <row r="947">
      <c r="A947" s="7"/>
      <c r="B947" s="7"/>
      <c r="C947" s="7"/>
      <c r="D947" s="7"/>
      <c r="E947" s="7"/>
      <c r="F947" s="7"/>
      <c r="G947" s="7"/>
      <c r="H947" s="7"/>
      <c r="I947" s="7"/>
      <c r="J947" s="7"/>
      <c r="K947" s="7"/>
    </row>
    <row r="948">
      <c r="A948" s="7"/>
      <c r="B948" s="7"/>
      <c r="C948" s="7"/>
      <c r="D948" s="7"/>
      <c r="E948" s="7"/>
      <c r="F948" s="7"/>
      <c r="G948" s="7"/>
      <c r="H948" s="7"/>
      <c r="I948" s="7"/>
      <c r="J948" s="7"/>
      <c r="K948" s="7"/>
    </row>
    <row r="949">
      <c r="A949" s="7"/>
      <c r="B949" s="7"/>
      <c r="C949" s="7"/>
      <c r="D949" s="7"/>
      <c r="E949" s="7"/>
      <c r="F949" s="7"/>
      <c r="G949" s="7"/>
      <c r="H949" s="7"/>
      <c r="I949" s="7"/>
      <c r="J949" s="7"/>
      <c r="K949" s="7"/>
    </row>
    <row r="950">
      <c r="A950" s="7"/>
      <c r="B950" s="7"/>
      <c r="C950" s="7"/>
      <c r="D950" s="7"/>
      <c r="E950" s="7"/>
      <c r="F950" s="7"/>
      <c r="G950" s="7"/>
      <c r="H950" s="7"/>
      <c r="I950" s="7"/>
      <c r="J950" s="7"/>
      <c r="K950" s="7"/>
    </row>
    <row r="951">
      <c r="A951" s="7"/>
      <c r="B951" s="7"/>
      <c r="C951" s="7"/>
      <c r="D951" s="7"/>
      <c r="E951" s="7"/>
      <c r="F951" s="7"/>
      <c r="G951" s="7"/>
      <c r="H951" s="7"/>
      <c r="I951" s="7"/>
      <c r="J951" s="7"/>
      <c r="K951" s="7"/>
    </row>
    <row r="952">
      <c r="A952" s="7"/>
      <c r="B952" s="7"/>
      <c r="C952" s="7"/>
      <c r="D952" s="7"/>
      <c r="E952" s="7"/>
      <c r="F952" s="7"/>
      <c r="G952" s="7"/>
      <c r="H952" s="7"/>
      <c r="I952" s="7"/>
      <c r="J952" s="7"/>
      <c r="K952" s="7"/>
    </row>
    <row r="953">
      <c r="A953" s="7"/>
      <c r="B953" s="7"/>
      <c r="C953" s="7"/>
      <c r="D953" s="7"/>
      <c r="E953" s="7"/>
      <c r="F953" s="7"/>
      <c r="G953" s="7"/>
      <c r="H953" s="7"/>
      <c r="I953" s="7"/>
      <c r="J953" s="7"/>
      <c r="K953" s="7"/>
    </row>
    <row r="954">
      <c r="A954" s="7"/>
      <c r="B954" s="7"/>
      <c r="C954" s="7"/>
      <c r="D954" s="7"/>
      <c r="E954" s="7"/>
      <c r="F954" s="7"/>
      <c r="G954" s="7"/>
      <c r="H954" s="7"/>
      <c r="I954" s="7"/>
      <c r="J954" s="7"/>
      <c r="K954" s="7"/>
    </row>
    <row r="955">
      <c r="A955" s="7"/>
      <c r="B955" s="7"/>
      <c r="C955" s="7"/>
      <c r="D955" s="7"/>
      <c r="E955" s="7"/>
      <c r="F955" s="7"/>
      <c r="G955" s="7"/>
      <c r="H955" s="7"/>
      <c r="I955" s="7"/>
      <c r="J955" s="7"/>
      <c r="K955" s="7"/>
    </row>
    <row r="956">
      <c r="A956" s="7"/>
      <c r="B956" s="7"/>
      <c r="C956" s="7"/>
      <c r="D956" s="7"/>
      <c r="E956" s="7"/>
      <c r="F956" s="7"/>
      <c r="G956" s="7"/>
      <c r="H956" s="7"/>
      <c r="I956" s="7"/>
      <c r="J956" s="7"/>
      <c r="K956" s="7"/>
    </row>
    <row r="957">
      <c r="A957" s="7"/>
      <c r="B957" s="7"/>
      <c r="C957" s="7"/>
      <c r="D957" s="7"/>
      <c r="E957" s="7"/>
      <c r="F957" s="7"/>
      <c r="G957" s="7"/>
      <c r="H957" s="7"/>
      <c r="I957" s="7"/>
      <c r="J957" s="7"/>
      <c r="K957" s="7"/>
    </row>
    <row r="958">
      <c r="A958" s="7"/>
      <c r="B958" s="7"/>
      <c r="C958" s="7"/>
      <c r="D958" s="7"/>
      <c r="E958" s="7"/>
      <c r="F958" s="7"/>
      <c r="G958" s="7"/>
      <c r="H958" s="7"/>
      <c r="I958" s="7"/>
      <c r="J958" s="7"/>
      <c r="K958" s="7"/>
    </row>
    <row r="959">
      <c r="A959" s="7"/>
      <c r="B959" s="7"/>
      <c r="C959" s="7"/>
      <c r="D959" s="7"/>
      <c r="E959" s="7"/>
      <c r="F959" s="7"/>
      <c r="G959" s="7"/>
      <c r="H959" s="7"/>
      <c r="I959" s="7"/>
      <c r="J959" s="7"/>
      <c r="K959" s="7"/>
    </row>
    <row r="960">
      <c r="A960" s="7"/>
      <c r="B960" s="7"/>
      <c r="C960" s="7"/>
      <c r="D960" s="7"/>
      <c r="E960" s="7"/>
      <c r="F960" s="7"/>
      <c r="G960" s="7"/>
      <c r="H960" s="7"/>
      <c r="I960" s="7"/>
      <c r="J960" s="7"/>
      <c r="K960" s="7"/>
    </row>
    <row r="961">
      <c r="A961" s="7"/>
      <c r="B961" s="7"/>
      <c r="C961" s="7"/>
      <c r="D961" s="7"/>
      <c r="E961" s="7"/>
      <c r="F961" s="7"/>
      <c r="G961" s="7"/>
      <c r="H961" s="7"/>
      <c r="I961" s="7"/>
      <c r="J961" s="7"/>
      <c r="K961" s="7"/>
    </row>
    <row r="962">
      <c r="A962" s="7"/>
      <c r="B962" s="7"/>
      <c r="C962" s="7"/>
      <c r="D962" s="7"/>
      <c r="E962" s="7"/>
      <c r="F962" s="7"/>
      <c r="G962" s="7"/>
      <c r="H962" s="7"/>
      <c r="I962" s="7"/>
      <c r="J962" s="7"/>
      <c r="K962" s="7"/>
    </row>
    <row r="963">
      <c r="A963" s="7"/>
      <c r="B963" s="7"/>
      <c r="C963" s="7"/>
      <c r="D963" s="7"/>
      <c r="E963" s="7"/>
      <c r="F963" s="7"/>
      <c r="G963" s="7"/>
      <c r="H963" s="7"/>
      <c r="I963" s="7"/>
      <c r="J963" s="7"/>
      <c r="K963" s="7"/>
    </row>
    <row r="964">
      <c r="A964" s="7"/>
      <c r="B964" s="7"/>
      <c r="C964" s="7"/>
      <c r="D964" s="7"/>
      <c r="E964" s="7"/>
      <c r="F964" s="7"/>
      <c r="G964" s="7"/>
      <c r="H964" s="7"/>
      <c r="I964" s="7"/>
      <c r="J964" s="7"/>
      <c r="K964" s="7"/>
    </row>
    <row r="965">
      <c r="A965" s="7"/>
      <c r="B965" s="7"/>
      <c r="C965" s="7"/>
      <c r="D965" s="7"/>
      <c r="E965" s="7"/>
      <c r="F965" s="7"/>
      <c r="G965" s="7"/>
      <c r="H965" s="7"/>
      <c r="I965" s="7"/>
      <c r="J965" s="7"/>
      <c r="K965" s="7"/>
    </row>
    <row r="966">
      <c r="A966" s="7"/>
      <c r="B966" s="7"/>
      <c r="C966" s="7"/>
      <c r="D966" s="7"/>
      <c r="E966" s="7"/>
      <c r="F966" s="7"/>
      <c r="G966" s="7"/>
      <c r="H966" s="7"/>
      <c r="I966" s="7"/>
      <c r="J966" s="7"/>
      <c r="K966" s="7"/>
    </row>
    <row r="967">
      <c r="A967" s="7"/>
      <c r="B967" s="7"/>
      <c r="C967" s="7"/>
      <c r="D967" s="7"/>
      <c r="E967" s="7"/>
      <c r="F967" s="7"/>
      <c r="G967" s="7"/>
      <c r="H967" s="7"/>
      <c r="I967" s="7"/>
      <c r="J967" s="7"/>
      <c r="K967" s="7"/>
    </row>
    <row r="968">
      <c r="A968" s="7"/>
      <c r="B968" s="7"/>
      <c r="C968" s="7"/>
      <c r="D968" s="7"/>
      <c r="E968" s="7"/>
      <c r="F968" s="7"/>
      <c r="G968" s="7"/>
      <c r="H968" s="7"/>
      <c r="I968" s="7"/>
      <c r="J968" s="7"/>
      <c r="K968" s="7"/>
    </row>
    <row r="969">
      <c r="A969" s="7"/>
      <c r="B969" s="7"/>
      <c r="C969" s="7"/>
      <c r="D969" s="7"/>
      <c r="E969" s="7"/>
      <c r="F969" s="7"/>
      <c r="G969" s="7"/>
      <c r="H969" s="7"/>
      <c r="I969" s="7"/>
      <c r="J969" s="7"/>
      <c r="K969" s="7"/>
    </row>
    <row r="970">
      <c r="A970" s="7"/>
      <c r="B970" s="7"/>
      <c r="C970" s="7"/>
      <c r="D970" s="7"/>
      <c r="E970" s="7"/>
      <c r="F970" s="7"/>
      <c r="G970" s="7"/>
      <c r="H970" s="7"/>
      <c r="I970" s="7"/>
      <c r="J970" s="7"/>
      <c r="K970" s="7"/>
    </row>
    <row r="971">
      <c r="A971" s="7"/>
      <c r="B971" s="7"/>
      <c r="C971" s="7"/>
      <c r="D971" s="7"/>
      <c r="E971" s="7"/>
      <c r="F971" s="7"/>
      <c r="G971" s="7"/>
      <c r="H971" s="7"/>
      <c r="I971" s="7"/>
      <c r="J971" s="7"/>
      <c r="K971" s="7"/>
    </row>
    <row r="972">
      <c r="A972" s="7"/>
      <c r="B972" s="7"/>
      <c r="C972" s="7"/>
      <c r="D972" s="7"/>
      <c r="E972" s="7"/>
      <c r="F972" s="7"/>
      <c r="G972" s="7"/>
      <c r="H972" s="7"/>
      <c r="I972" s="7"/>
      <c r="J972" s="7"/>
      <c r="K972" s="7"/>
    </row>
    <row r="973">
      <c r="A973" s="7"/>
      <c r="B973" s="7"/>
      <c r="C973" s="7"/>
      <c r="D973" s="7"/>
      <c r="E973" s="7"/>
      <c r="F973" s="7"/>
      <c r="G973" s="7"/>
      <c r="H973" s="7"/>
      <c r="I973" s="7"/>
      <c r="J973" s="7"/>
      <c r="K973" s="7"/>
    </row>
    <row r="974">
      <c r="A974" s="7"/>
      <c r="B974" s="7"/>
      <c r="C974" s="7"/>
      <c r="D974" s="7"/>
      <c r="E974" s="7"/>
      <c r="F974" s="7"/>
      <c r="G974" s="7"/>
      <c r="H974" s="7"/>
      <c r="I974" s="7"/>
      <c r="J974" s="7"/>
      <c r="K974" s="7"/>
    </row>
    <row r="975">
      <c r="A975" s="7"/>
      <c r="B975" s="7"/>
      <c r="C975" s="7"/>
      <c r="D975" s="7"/>
      <c r="E975" s="7"/>
      <c r="F975" s="7"/>
      <c r="G975" s="7"/>
      <c r="H975" s="7"/>
      <c r="I975" s="7"/>
      <c r="J975" s="7"/>
      <c r="K975" s="7"/>
    </row>
    <row r="976">
      <c r="A976" s="7"/>
      <c r="B976" s="7"/>
      <c r="C976" s="7"/>
      <c r="D976" s="7"/>
      <c r="E976" s="7"/>
      <c r="F976" s="7"/>
      <c r="G976" s="7"/>
      <c r="H976" s="7"/>
      <c r="I976" s="7"/>
      <c r="J976" s="7"/>
      <c r="K976" s="7"/>
    </row>
    <row r="977">
      <c r="A977" s="7"/>
      <c r="B977" s="7"/>
      <c r="C977" s="7"/>
      <c r="D977" s="7"/>
      <c r="E977" s="7"/>
      <c r="F977" s="7"/>
      <c r="G977" s="7"/>
      <c r="H977" s="7"/>
      <c r="I977" s="7"/>
      <c r="J977" s="7"/>
      <c r="K977" s="7"/>
    </row>
    <row r="978">
      <c r="A978" s="7"/>
      <c r="B978" s="7"/>
      <c r="C978" s="7"/>
      <c r="D978" s="7"/>
      <c r="E978" s="7"/>
      <c r="F978" s="7"/>
      <c r="G978" s="7"/>
      <c r="H978" s="7"/>
      <c r="I978" s="7"/>
      <c r="J978" s="7"/>
      <c r="K978" s="7"/>
    </row>
    <row r="979">
      <c r="A979" s="7"/>
      <c r="B979" s="7"/>
      <c r="C979" s="7"/>
      <c r="D979" s="7"/>
      <c r="E979" s="7"/>
      <c r="F979" s="7"/>
      <c r="G979" s="7"/>
      <c r="H979" s="7"/>
      <c r="I979" s="7"/>
      <c r="J979" s="7"/>
      <c r="K979" s="7"/>
    </row>
    <row r="980">
      <c r="A980" s="7"/>
      <c r="B980" s="7"/>
      <c r="C980" s="7"/>
      <c r="D980" s="7"/>
      <c r="E980" s="7"/>
      <c r="F980" s="7"/>
      <c r="G980" s="7"/>
      <c r="H980" s="7"/>
      <c r="I980" s="7"/>
      <c r="J980" s="7"/>
      <c r="K980" s="7"/>
    </row>
    <row r="981">
      <c r="A981" s="7"/>
      <c r="B981" s="7"/>
      <c r="C981" s="7"/>
      <c r="D981" s="7"/>
      <c r="E981" s="7"/>
      <c r="F981" s="7"/>
      <c r="G981" s="7"/>
      <c r="H981" s="7"/>
      <c r="I981" s="7"/>
      <c r="J981" s="7"/>
      <c r="K981" s="7"/>
    </row>
    <row r="982">
      <c r="A982" s="7"/>
      <c r="B982" s="7"/>
      <c r="C982" s="7"/>
      <c r="D982" s="7"/>
      <c r="E982" s="7"/>
      <c r="F982" s="7"/>
      <c r="G982" s="7"/>
      <c r="H982" s="7"/>
      <c r="I982" s="7"/>
      <c r="J982" s="7"/>
      <c r="K982" s="7"/>
    </row>
    <row r="983">
      <c r="A983" s="7"/>
      <c r="B983" s="7"/>
      <c r="C983" s="7"/>
      <c r="D983" s="7"/>
      <c r="E983" s="7"/>
      <c r="F983" s="7"/>
      <c r="G983" s="7"/>
      <c r="H983" s="7"/>
      <c r="I983" s="7"/>
      <c r="J983" s="7"/>
      <c r="K983" s="7"/>
    </row>
    <row r="984">
      <c r="A984" s="7"/>
      <c r="B984" s="7"/>
      <c r="C984" s="7"/>
      <c r="D984" s="7"/>
      <c r="E984" s="7"/>
      <c r="F984" s="7"/>
      <c r="G984" s="7"/>
      <c r="H984" s="7"/>
      <c r="I984" s="7"/>
      <c r="J984" s="7"/>
      <c r="K984" s="7"/>
    </row>
    <row r="985">
      <c r="A985" s="7"/>
      <c r="B985" s="7"/>
      <c r="C985" s="7"/>
      <c r="D985" s="7"/>
      <c r="E985" s="7"/>
      <c r="F985" s="7"/>
      <c r="G985" s="7"/>
      <c r="H985" s="7"/>
      <c r="I985" s="7"/>
      <c r="J985" s="7"/>
      <c r="K985" s="7"/>
    </row>
    <row r="986">
      <c r="A986" s="7"/>
      <c r="B986" s="7"/>
      <c r="C986" s="7"/>
      <c r="D986" s="7"/>
      <c r="E986" s="7"/>
      <c r="F986" s="7"/>
      <c r="G986" s="7"/>
      <c r="H986" s="7"/>
      <c r="I986" s="7"/>
      <c r="J986" s="7"/>
      <c r="K986" s="7"/>
    </row>
    <row r="987">
      <c r="A987" s="7"/>
      <c r="B987" s="7"/>
      <c r="C987" s="7"/>
      <c r="D987" s="7"/>
      <c r="E987" s="7"/>
      <c r="F987" s="7"/>
      <c r="G987" s="7"/>
      <c r="H987" s="7"/>
      <c r="I987" s="7"/>
      <c r="J987" s="7"/>
      <c r="K987" s="7"/>
    </row>
    <row r="988">
      <c r="A988" s="7"/>
      <c r="B988" s="7"/>
      <c r="C988" s="7"/>
      <c r="D988" s="7"/>
      <c r="E988" s="7"/>
      <c r="F988" s="7"/>
      <c r="G988" s="7"/>
      <c r="H988" s="7"/>
      <c r="I988" s="7"/>
      <c r="J988" s="7"/>
      <c r="K988" s="7"/>
    </row>
    <row r="989">
      <c r="A989" s="7"/>
      <c r="B989" s="7"/>
      <c r="C989" s="7"/>
      <c r="D989" s="7"/>
      <c r="E989" s="7"/>
      <c r="F989" s="7"/>
      <c r="G989" s="7"/>
      <c r="H989" s="7"/>
      <c r="I989" s="7"/>
      <c r="J989" s="7"/>
      <c r="K989" s="7"/>
    </row>
    <row r="990">
      <c r="A990" s="7"/>
      <c r="B990" s="7"/>
      <c r="C990" s="7"/>
      <c r="D990" s="7"/>
      <c r="E990" s="7"/>
      <c r="F990" s="7"/>
      <c r="G990" s="7"/>
      <c r="H990" s="7"/>
      <c r="I990" s="7"/>
      <c r="J990" s="7"/>
      <c r="K990" s="7"/>
    </row>
    <row r="991">
      <c r="A991" s="7"/>
      <c r="B991" s="7"/>
      <c r="C991" s="7"/>
      <c r="D991" s="7"/>
      <c r="E991" s="7"/>
      <c r="F991" s="7"/>
      <c r="G991" s="7"/>
      <c r="H991" s="7"/>
      <c r="I991" s="7"/>
      <c r="J991" s="7"/>
      <c r="K991" s="7"/>
    </row>
    <row r="992">
      <c r="A992" s="7"/>
      <c r="B992" s="7"/>
      <c r="C992" s="7"/>
      <c r="D992" s="7"/>
      <c r="E992" s="7"/>
      <c r="F992" s="7"/>
      <c r="G992" s="7"/>
      <c r="H992" s="7"/>
      <c r="I992" s="7"/>
      <c r="J992" s="7"/>
      <c r="K992" s="7"/>
    </row>
    <row r="993">
      <c r="A993" s="7"/>
      <c r="B993" s="7"/>
      <c r="C993" s="7"/>
      <c r="D993" s="7"/>
      <c r="E993" s="7"/>
      <c r="F993" s="7"/>
      <c r="G993" s="7"/>
      <c r="H993" s="7"/>
      <c r="I993" s="7"/>
      <c r="J993" s="7"/>
      <c r="K993" s="7"/>
    </row>
    <row r="994">
      <c r="A994" s="7"/>
      <c r="B994" s="7"/>
      <c r="C994" s="7"/>
      <c r="D994" s="7"/>
      <c r="E994" s="7"/>
      <c r="F994" s="7"/>
      <c r="G994" s="7"/>
      <c r="H994" s="7"/>
      <c r="I994" s="7"/>
      <c r="J994" s="7"/>
      <c r="K994" s="7"/>
    </row>
    <row r="995">
      <c r="A995" s="7"/>
      <c r="B995" s="7"/>
      <c r="C995" s="7"/>
      <c r="D995" s="7"/>
      <c r="E995" s="7"/>
      <c r="F995" s="7"/>
      <c r="G995" s="7"/>
      <c r="H995" s="7"/>
      <c r="I995" s="7"/>
      <c r="J995" s="7"/>
      <c r="K995" s="7"/>
    </row>
    <row r="996">
      <c r="A996" s="7"/>
      <c r="B996" s="7"/>
      <c r="C996" s="7"/>
      <c r="D996" s="7"/>
      <c r="E996" s="7"/>
      <c r="F996" s="7"/>
      <c r="G996" s="7"/>
      <c r="H996" s="7"/>
      <c r="I996" s="7"/>
      <c r="J996" s="7"/>
      <c r="K996" s="7"/>
    </row>
    <row r="997">
      <c r="A997" s="7"/>
      <c r="B997" s="7"/>
      <c r="C997" s="7"/>
      <c r="D997" s="7"/>
      <c r="E997" s="7"/>
      <c r="F997" s="7"/>
      <c r="G997" s="7"/>
      <c r="H997" s="7"/>
      <c r="I997" s="7"/>
      <c r="J997" s="7"/>
      <c r="K997" s="7"/>
    </row>
    <row r="998">
      <c r="A998" s="7"/>
      <c r="B998" s="7"/>
      <c r="C998" s="7"/>
      <c r="D998" s="7"/>
      <c r="E998" s="7"/>
      <c r="F998" s="7"/>
      <c r="G998" s="7"/>
      <c r="H998" s="7"/>
      <c r="I998" s="7"/>
      <c r="J998" s="7"/>
      <c r="K998" s="7"/>
    </row>
    <row r="999">
      <c r="A999" s="7"/>
      <c r="B999" s="7"/>
      <c r="C999" s="7"/>
      <c r="D999" s="7"/>
      <c r="E999" s="7"/>
      <c r="F999" s="7"/>
      <c r="G999" s="7"/>
      <c r="H999" s="7"/>
      <c r="I999" s="7"/>
      <c r="J999" s="7"/>
      <c r="K999" s="7"/>
    </row>
    <row r="1000">
      <c r="A1000" s="7"/>
      <c r="B1000" s="7"/>
      <c r="C1000" s="7"/>
      <c r="D1000" s="7"/>
      <c r="E1000" s="7"/>
      <c r="F1000" s="7"/>
      <c r="G1000" s="7"/>
      <c r="H1000" s="7"/>
      <c r="I1000" s="7"/>
      <c r="J1000" s="7"/>
      <c r="K1000" s="7"/>
    </row>
  </sheetData>
  <mergeCells count="2">
    <mergeCell ref="C2:H3"/>
    <mergeCell ref="N11:S1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